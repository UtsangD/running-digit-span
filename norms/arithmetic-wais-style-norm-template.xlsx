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988639c43442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f4edea66d6644228"/>
    <x:sheet xmlns:r="http://schemas.openxmlformats.org/officeDocument/2006/relationships" name="Sessions" sheetId="2" r:id="R9b58ac47e8914d11"/>
    <x:sheet xmlns:r="http://schemas.openxmlformats.org/officeDocument/2006/relationships" name="Item Responses" sheetId="3" r:id="R7f3f05891e0e43ac"/>
    <x:sheet xmlns:r="http://schemas.openxmlformats.org/officeDocument/2006/relationships" name="Item Bank" sheetId="4" r:id="R781076c340fb4673"/>
    <x:sheet xmlns:r="http://schemas.openxmlformats.org/officeDocument/2006/relationships" name="Item Norms" sheetId="5" r:id="R10fa43349d814225"/>
    <x:sheet xmlns:r="http://schemas.openxmlformats.org/officeDocument/2006/relationships" name="README" sheetId="6" r:id="R7ce2bc632d544a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0.0"/>
  </x:numFmts>
  <x:fonts count="8">
    <x:font>
      <x:sz val="11"/>
      <x:name val="Carlito"/>
    </x:font>
    <x:font>
      <x:b/>
      <x:sz val="16"/>
      <x:color rgb="FFFFFFFF"/>
      <x:name val="Carlito"/>
    </x:font>
    <x:font>
      <x:sz val="11"/>
      <x:color rgb="FF0F172A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1"/>
      <x:color rgb="FF0F172A"/>
      <x:name val="Carlito"/>
    </x:font>
    <x:font>
      <x:b/>
      <x:sz val="10"/>
      <x:color rgb="FF1F2937"/>
      <x:name val="Aptos"/>
    </x:font>
    <x:font>
      <x:sz val="10"/>
      <x:color rgb="FF1F2937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0F2FE"/>
      </x:patternFill>
    </x:fill>
    <x:fill>
      <x:patternFill patternType="solid">
        <x:fgColor rgb="FFF8FAFC"/>
      </x:patternFill>
    </x:fill>
    <x:fill>
      <x:patternFill patternType="solid">
        <x:fgColor rgb="FF1F4E79"/>
      </x:patternFill>
    </x:fill>
  </x:fills>
  <x:borders count="17">
    <x:border/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D1D5DB"/>
      </x:left>
      <x:top style="thin">
        <x:color rgb="FFD1D5DB"/>
      </x:top>
    </x:border>
    <x:border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top style="thin">
        <x:color rgb="FFCBD5E1"/>
      </x:top>
      <x:bottom style="thin">
        <x:color rgb="FFCBD5E1"/>
      </x:bottom>
    </x:border>
    <x:border>
      <x:right style="thin">
        <x:color rgb="FFD1D5DB"/>
      </x:right>
      <x:top style="thin">
        <x:color rgb="FFCBD5E1"/>
      </x:top>
      <x:bottom style="thin">
        <x:color rgb="FFCBD5E1"/>
      </x:bottom>
    </x:border>
    <x:border>
      <x:left style="thin">
        <x:color rgb="FFD1D5DB"/>
      </x:left>
      <x:bottom style="thin">
        <x:color rgb="FFD1D5DB"/>
      </x:bottom>
    </x:border>
    <x:border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8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200" fontId="3" fillId="4" borderId="2" xfId="0" applyNumberFormat="1" applyFont="1" applyFill="1" applyBorder="1"/>
    <x:xf numFmtId="201" fontId="3" fillId="4" borderId="2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5" fillId="3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6" fillId="4" borderId="1" xfId="0" applyNumberFormat="1" applyFont="1" applyFill="1" applyBorder="1"/>
    <x:xf numFmtId="0" fontId="6" fillId="4" borderId="2" xfId="0" applyNumberFormat="1" applyFont="1" applyFill="1" applyBorder="1"/>
    <x:xf numFmtId="200" fontId="6" fillId="4" borderId="2" xfId="0" applyNumberFormat="1" applyFont="1" applyFill="1" applyBorder="1"/>
    <x:xf numFmtId="201" fontId="6" fillId="4" borderId="2" xfId="0" applyNumberFormat="1" applyFont="1" applyFill="1" applyBorder="1"/>
    <x:xf numFmtId="0" fontId="6" fillId="4" borderId="3" xfId="0" applyNumberFormat="1" applyFont="1" applyFill="1" applyBorder="1"/>
    <x:xf numFmtId="0" fontId="6" fillId="5" borderId="0" xfId="0" applyNumberFormat="1" applyFont="1" applyFill="1" applyBorder="1" applyAlignment="1">
      <x:alignment horizontal="center" vertical="center" wrapText="1"/>
    </x:xf>
    <x:xf numFmtId="200" fontId="7" fillId="0" borderId="0" xfId="0" applyNumberFormat="1" applyFont="1" applyFill="1" applyBorder="1"/>
    <x:xf numFmtId="201" fontId="7" fillId="0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wrapText="1"/>
    </x:xf>
    <x:xf numFmtId="0" fontId="6" fillId="4" borderId="2" xfId="0" applyNumberFormat="1" applyFont="1" applyFill="1" applyBorder="1" applyAlignment="1">
      <x:alignment wrapText="1"/>
    </x:xf>
    <x:xf numFmtId="200" fontId="6" fillId="4" borderId="2" xfId="0" applyNumberFormat="1" applyFont="1" applyFill="1" applyBorder="1" applyAlignment="1">
      <x:alignment wrapText="1"/>
    </x:xf>
    <x:xf numFmtId="201" fontId="6" fillId="4" borderId="2" xfId="0" applyNumberFormat="1" applyFont="1" applyFill="1" applyBorder="1" applyAlignment="1">
      <x:alignment wrapText="1"/>
    </x:xf>
    <x:xf numFmtId="0" fontId="6" fillId="4" borderId="3" xfId="0" applyNumberFormat="1" applyFont="1" applyFill="1" applyBorder="1" applyAlignment="1">
      <x:alignment wrapText="1"/>
    </x:xf>
    <x:xf numFmtId="200" fontId="7" fillId="0" borderId="0" xfId="0" applyNumberFormat="1" applyFont="1" applyFill="1" applyBorder="1" applyAlignment="1">
      <x:alignment wrapText="1"/>
    </x:xf>
    <x:xf numFmtId="201" fontId="7" fillId="0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vertical="top" wrapText="1"/>
    </x:xf>
    <x:xf numFmtId="0" fontId="7" fillId="3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6" fillId="4" borderId="1" xfId="0" applyNumberFormat="1" applyFont="1" applyFill="1" applyBorder="1" applyAlignment="1">
      <x:alignment vertical="top" wrapText="1"/>
    </x:xf>
    <x:xf numFmtId="0" fontId="6" fillId="4" borderId="2" xfId="0" applyNumberFormat="1" applyFont="1" applyFill="1" applyBorder="1" applyAlignment="1">
      <x:alignment vertical="top" wrapText="1"/>
    </x:xf>
    <x:xf numFmtId="200" fontId="6" fillId="4" borderId="2" xfId="0" applyNumberFormat="1" applyFont="1" applyFill="1" applyBorder="1" applyAlignment="1">
      <x:alignment vertical="top" wrapText="1"/>
    </x:xf>
    <x:xf numFmtId="201" fontId="6" fillId="4" borderId="2" xfId="0" applyNumberFormat="1" applyFont="1" applyFill="1" applyBorder="1" applyAlignment="1">
      <x:alignment vertical="top" wrapText="1"/>
    </x:xf>
    <x:xf numFmtId="0" fontId="6" fillId="4" borderId="3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 applyAlignment="1">
      <x:alignment horizontal="center" vertical="top" wrapText="1"/>
    </x:xf>
    <x:xf numFmtId="200" fontId="7" fillId="0" borderId="0" xfId="0" applyNumberFormat="1" applyFont="1" applyFill="1" applyBorder="1" applyAlignment="1">
      <x:alignment vertical="top" wrapText="1"/>
    </x:xf>
    <x:xf numFmtId="201" fontId="7" fillId="0" borderId="0" xfId="0" applyNumberFormat="1" applyFont="1" applyFill="1" applyBorder="1" applyAlignment="1">
      <x:alignment vertical="top" wrapText="1"/>
    </x:xf>
    <x:xf numFmtId="0" fontId="6" fillId="2" borderId="4" xfId="0" applyNumberFormat="1" applyFont="1" applyFill="1" applyBorder="1" applyAlignment="1">
      <x:alignment vertical="top" wrapText="1"/>
    </x:xf>
    <x:xf numFmtId="0" fontId="6" fillId="2" borderId="5" xfId="0" applyNumberFormat="1" applyFont="1" applyFill="1" applyBorder="1" applyAlignment="1">
      <x:alignment vertical="top" wrapText="1"/>
    </x:xf>
    <x:xf numFmtId="0" fontId="6" fillId="2" borderId="6" xfId="0" applyNumberFormat="1" applyFont="1" applyFill="1" applyBorder="1" applyAlignment="1">
      <x:alignment vertical="top" wrapText="1"/>
    </x:xf>
    <x:xf numFmtId="0" fontId="7" fillId="3" borderId="7" xfId="0" applyNumberFormat="1" applyFont="1" applyFill="1" applyBorder="1" applyAlignment="1">
      <x:alignment vertical="top" wrapText="1"/>
    </x:xf>
    <x:xf numFmtId="0" fontId="7" fillId="3" borderId="8" xfId="0" applyNumberFormat="1" applyFont="1" applyFill="1" applyBorder="1" applyAlignment="1">
      <x:alignment vertical="top" wrapText="1"/>
    </x:xf>
    <x:xf numFmtId="0" fontId="7" fillId="0" borderId="7" xfId="0" applyNumberFormat="1" applyFont="1" applyFill="1" applyBorder="1" applyAlignment="1">
      <x:alignment vertical="top" wrapText="1"/>
    </x:xf>
    <x:xf numFmtId="0" fontId="7" fillId="0" borderId="8" xfId="0" applyNumberFormat="1" applyFont="1" applyFill="1" applyBorder="1" applyAlignment="1">
      <x:alignment vertical="top" wrapText="1"/>
    </x:xf>
    <x:xf numFmtId="0" fontId="6" fillId="4" borderId="9" xfId="0" applyNumberFormat="1" applyFont="1" applyFill="1" applyBorder="1" applyAlignment="1">
      <x:alignment vertical="top" wrapText="1"/>
    </x:xf>
    <x:xf numFmtId="0" fontId="6" fillId="4" borderId="10" xfId="0" applyNumberFormat="1" applyFont="1" applyFill="1" applyBorder="1" applyAlignment="1">
      <x:alignment vertical="top" wrapText="1"/>
    </x:xf>
    <x:xf numFmtId="0" fontId="6" fillId="5" borderId="7" xfId="0" applyNumberFormat="1" applyFont="1" applyFill="1" applyBorder="1" applyAlignment="1">
      <x:alignment horizontal="center" vertical="top" wrapText="1"/>
    </x:xf>
    <x:xf numFmtId="0" fontId="6" fillId="5" borderId="8" xfId="0" applyNumberFormat="1" applyFont="1" applyFill="1" applyBorder="1" applyAlignment="1">
      <x:alignment horizontal="center" vertical="top" wrapText="1"/>
    </x:xf>
    <x:xf numFmtId="0" fontId="7" fillId="0" borderId="11" xfId="0" applyNumberFormat="1" applyFont="1" applyFill="1" applyBorder="1" applyAlignment="1">
      <x:alignment vertical="top" wrapText="1"/>
    </x:xf>
    <x:xf numFmtId="0" fontId="7" fillId="0" borderId="12" xfId="0" applyNumberFormat="1" applyFont="1" applyFill="1" applyBorder="1" applyAlignment="1">
      <x:alignment vertical="top" wrapText="1"/>
    </x:xf>
    <x:xf numFmtId="200" fontId="7" fillId="0" borderId="12" xfId="0" applyNumberFormat="1" applyFont="1" applyFill="1" applyBorder="1" applyAlignment="1">
      <x:alignment vertical="top" wrapText="1"/>
    </x:xf>
    <x:xf numFmtId="201" fontId="7" fillId="0" borderId="12" xfId="0" applyNumberFormat="1" applyFont="1" applyFill="1" applyBorder="1" applyAlignment="1">
      <x:alignment vertical="top" wrapText="1"/>
    </x:xf>
    <x:xf numFmtId="0" fontId="7" fillId="0" borderId="13" xfId="0" applyNumberFormat="1" applyFont="1" applyFill="1" applyBorder="1" applyAlignment="1">
      <x:alignment vertical="top" wrapText="1"/>
    </x:xf>
    <x:xf numFmtId="0" fontId="6" fillId="5" borderId="14" xfId="0" applyNumberFormat="1" applyFont="1" applyFill="1" applyBorder="1" applyAlignment="1">
      <x:alignment horizontal="center" vertical="top" wrapText="1"/>
    </x:xf>
    <x:xf numFmtId="0" fontId="6" fillId="5" borderId="15" xfId="0" applyNumberFormat="1" applyFont="1" applyFill="1" applyBorder="1" applyAlignment="1">
      <x:alignment horizontal="center" vertical="top" wrapText="1"/>
    </x:xf>
    <x:xf numFmtId="0" fontId="6" fillId="5" borderId="16" xfId="0" applyNumberFormat="1" applyFont="1" applyFill="1" applyBorder="1" applyAlignment="1">
      <x:alignment horizontal="center" vertical="top" wrapText="1"/>
    </x:xf>
    <x:xf numFmtId="0" fontId="6" fillId="5" borderId="4" xfId="0" applyNumberFormat="1" applyFont="1" applyFill="1" applyBorder="1" applyAlignment="1">
      <x:alignment horizontal="center" vertical="top" wrapText="1"/>
    </x:xf>
    <x:xf numFmtId="0" fontId="6" fillId="5" borderId="5" xfId="0" applyNumberFormat="1" applyFont="1" applyFill="1" applyBorder="1" applyAlignment="1">
      <x:alignment horizontal="center" vertical="top" wrapText="1"/>
    </x:xf>
    <x:xf numFmtId="0" fontId="6" fillId="5" borderId="6" xfId="0" applyNumberFormat="1" applyFont="1" applyFill="1" applyBorder="1" applyAlignment="1">
      <x:alignment horizontal="center" vertical="top" wrapText="1"/>
    </x:xf>
    <x:xf numFmtId="0" fontId="6" fillId="2" borderId="0" xfId="0" applyNumberFormat="1" applyFont="1" applyFill="1" applyBorder="1"/>
    <x:xf numFmtId="0" fontId="6" fillId="3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vertical="top" wrapText="1"/>
    </x:xf>
    <x:xf numFmtId="0" fontId="6" fillId="3" borderId="7" xfId="0" applyNumberFormat="1" applyFont="1" applyFill="1" applyBorder="1" applyAlignment="1">
      <x:alignment vertical="top" wrapText="1"/>
    </x:xf>
    <x:xf numFmtId="0" fontId="6" fillId="3" borderId="1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b83dc0449644fd" /><Relationship Type="http://schemas.openxmlformats.org/officeDocument/2006/relationships/theme" Target="/xl/theme/theme1.xml" Id="R01daefe40a234017" /><Relationship Type="http://schemas.openxmlformats.org/officeDocument/2006/relationships/sharedStrings" Target="/xl/sharedStrings.xml" Id="R6bb03e09602d4f5d" /><Relationship Type="http://schemas.openxmlformats.org/officeDocument/2006/relationships/worksheet" Target="/xl/worksheets/sheet1.xml" Id="Rf4edea66d6644228" /><Relationship Type="http://schemas.openxmlformats.org/officeDocument/2006/relationships/worksheet" Target="/xl/worksheets/sheet2.xml" Id="R9b58ac47e8914d11" /><Relationship Type="http://schemas.openxmlformats.org/officeDocument/2006/relationships/worksheet" Target="/xl/worksheets/sheet3.xml" Id="R7f3f05891e0e43ac" /><Relationship Type="http://schemas.openxmlformats.org/officeDocument/2006/relationships/worksheet" Target="/xl/worksheets/sheet4.xml" Id="R781076c340fb4673" /><Relationship Type="http://schemas.openxmlformats.org/officeDocument/2006/relationships/worksheet" Target="/xl/worksheets/sheet5.xml" Id="R10fa43349d814225" /><Relationship Type="http://schemas.openxmlformats.org/officeDocument/2006/relationships/worksheet" Target="/xl/worksheets/sheet6.xml" Id="R7ce2bc632d544a5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.25" hidden="0" customWidth="1"/>
    <x:col min="2" max="2" width="15" hidden="0" customWidth="1"/>
    <x:col min="3" max="3" width="11.25" hidden="0" customWidth="1"/>
    <x:col min="4" max="4" width="11.25" hidden="0" customWidth="1"/>
    <x:col min="5" max="5" width="11.25" hidden="0" customWidth="1"/>
    <x:col min="6" max="6" width="11.880000114440918" hidden="0" customWidth="1"/>
    <x:col min="7" max="7" width="11.25" hidden="0" customWidth="1"/>
    <x:col min="8" max="8" width="11.25" hidden="0" customWidth="1"/>
  </x:cols>
  <x:sheetData>
    <x:row r="1">
      <x:c r="A1" s="53" t="str">
        <x:v>Arithmetic WAIS-style norming dashboard</x:v>
      </x:c>
      <x:c r="B1" s="54" t="str"/>
      <x:c r="C1" s="54" t="str"/>
      <x:c r="D1" s="54" t="str"/>
      <x:c r="E1" s="54" t="str"/>
      <x:c r="F1" s="54" t="str"/>
      <x:c r="G1" s="54" t="str"/>
      <x:c r="H1" s="55" t="str"/>
    </x:row>
    <x:row r="2">
      <x:c r="A2" s="56" t="str">
        <x:v>Paste session rows into Sessions and item rows into Item Responses. Formulas update the dashboard and item norms.</x:v>
      </x:c>
      <x:c r="B2" s="43" t="str"/>
      <x:c r="C2" s="43" t="str"/>
      <x:c r="D2" s="43" t="str"/>
      <x:c r="E2" s="43" t="str"/>
      <x:c r="F2" s="43" t="str"/>
      <x:c r="G2" s="43" t="str"/>
      <x:c r="H2" s="57" t="str"/>
    </x:row>
    <x:row r="3">
      <x:c r="A3" s="58" t="str"/>
      <x:c r="B3" s="44" t="str"/>
      <x:c r="C3" s="44" t="str"/>
      <x:c r="D3" s="44" t="str"/>
      <x:c r="E3" s="44" t="str"/>
      <x:c r="F3" s="44" t="str"/>
      <x:c r="G3" s="44" t="str"/>
      <x:c r="H3" s="59" t="str"/>
    </x:row>
    <x:row r="4">
      <x:c r="A4" s="60" t="str">
        <x:v>Sessions</x:v>
      </x:c>
      <x:c r="B4" s="46" t="n">
        <x:f>COUNTA(Sessions!C2:C2000)</x:f>
        <x:v>0</x:v>
      </x:c>
      <x:c r="C4" s="46" t="str">
        <x:v>Mean accuracy</x:v>
      </x:c>
      <x:c r="D4" s="47" t="str">
        <x:f>IFERROR(AVERAGE(Sessions!J2:J2000)/100,"")</x:f>
      </x:c>
      <x:c r="E4" s="46" t="str">
        <x:v>Avg response sec</x:v>
      </x:c>
      <x:c r="F4" s="48" t="str">
        <x:f>IFERROR(AVERAGE(Sessions!L2:L2000)/1000,"")</x:f>
      </x:c>
      <x:c r="G4" s="46" t="str">
        <x:v>Total repeats</x:v>
      </x:c>
      <x:c r="H4" s="61" t="n">
        <x:f>SUM(Sessions!O2:O2000)</x:f>
        <x:v>0</x:v>
      </x:c>
    </x:row>
    <x:row r="5">
      <x:c r="A5" s="58" t="str"/>
      <x:c r="B5" s="44" t="str"/>
      <x:c r="C5" s="44" t="str"/>
      <x:c r="D5" s="44" t="str"/>
      <x:c r="E5" s="44" t="str"/>
      <x:c r="F5" s="44" t="str"/>
      <x:c r="G5" s="44" t="str"/>
      <x:c r="H5" s="59" t="str"/>
    </x:row>
    <x:row r="6">
      <x:c r="A6" s="62" t="str">
        <x:v>Tier ID</x:v>
      </x:c>
      <x:c r="B6" s="50" t="str">
        <x:v>Tier</x:v>
      </x:c>
      <x:c r="C6" s="50" t="str">
        <x:v>Attempts</x:v>
      </x:c>
      <x:c r="D6" s="50" t="str">
        <x:v>Correct</x:v>
      </x:c>
      <x:c r="E6" s="50" t="str">
        <x:v>Accuracy</x:v>
      </x:c>
      <x:c r="F6" s="50" t="str">
        <x:v>Avg RT sec</x:v>
      </x:c>
      <x:c r="G6" s="50" t="str">
        <x:v>Timeouts</x:v>
      </x:c>
      <x:c r="H6" s="63" t="str">
        <x:v>Repeats</x:v>
      </x:c>
    </x:row>
    <x:row r="7">
      <x:c r="A7" s="58" t="str">
        <x:v>very_easy</x:v>
      </x:c>
      <x:c r="B7" s="44" t="str">
        <x:v>Very Easy</x:v>
      </x:c>
      <x:c r="C7" s="44" t="n">
        <x:f>COUNTIF('Item Responses'!F$2:F$5000,A7)</x:f>
        <x:v>0</x:v>
      </x:c>
      <x:c r="D7" s="44" t="n">
        <x:f>SUMIF('Item Responses'!F$2:F$5000,A7,'Item Responses'!I$2:I$5000)</x:f>
        <x:v>0</x:v>
      </x:c>
      <x:c r="E7" s="51" t="str">
        <x:f>IFERROR(D7/C7,"")</x:f>
      </x:c>
      <x:c r="F7" s="52" t="str">
        <x:f>IFERROR(AVERAGEIF('Item Responses'!F$2:F$5000,A7,'Item Responses'!N$2:N$5000),"")</x:f>
      </x:c>
      <x:c r="G7" s="44" t="n">
        <x:f>COUNTIFS('Item Responses'!F$2:F$5000,A7,'Item Responses'!O$2:O$5000,1)</x:f>
        <x:v>0</x:v>
      </x:c>
      <x:c r="H7" s="59" t="n">
        <x:f>SUMIF('Item Responses'!F$2:F$5000,A7,'Item Responses'!Q$2:Q$5000)</x:f>
        <x:v>0</x:v>
      </x:c>
    </x:row>
    <x:row r="8">
      <x:c r="A8" s="58" t="str">
        <x:v>easy</x:v>
      </x:c>
      <x:c r="B8" s="44" t="str">
        <x:v>Easy</x:v>
      </x:c>
      <x:c r="C8" s="44" t="n">
        <x:f>COUNTIF('Item Responses'!F$2:F$5000,A8)</x:f>
        <x:v>0</x:v>
      </x:c>
      <x:c r="D8" s="44" t="n">
        <x:f>SUMIF('Item Responses'!F$2:F$5000,A8,'Item Responses'!I$2:I$5000)</x:f>
        <x:v>0</x:v>
      </x:c>
      <x:c r="E8" s="51" t="str">
        <x:f>IFERROR(D8/C8,"")</x:f>
      </x:c>
      <x:c r="F8" s="52" t="str">
        <x:f>IFERROR(AVERAGEIF('Item Responses'!F$2:F$5000,A8,'Item Responses'!N$2:N$5000),"")</x:f>
      </x:c>
      <x:c r="G8" s="44" t="n">
        <x:f>COUNTIFS('Item Responses'!F$2:F$5000,A8,'Item Responses'!O$2:O$5000,1)</x:f>
        <x:v>0</x:v>
      </x:c>
      <x:c r="H8" s="59" t="n">
        <x:f>SUMIF('Item Responses'!F$2:F$5000,A8,'Item Responses'!Q$2:Q$5000)</x:f>
        <x:v>0</x:v>
      </x:c>
    </x:row>
    <x:row r="9">
      <x:c r="A9" s="58" t="str">
        <x:v>medium</x:v>
      </x:c>
      <x:c r="B9" s="44" t="str">
        <x:v>Medium</x:v>
      </x:c>
      <x:c r="C9" s="44" t="n">
        <x:f>COUNTIF('Item Responses'!F$2:F$5000,A9)</x:f>
        <x:v>0</x:v>
      </x:c>
      <x:c r="D9" s="44" t="n">
        <x:f>SUMIF('Item Responses'!F$2:F$5000,A9,'Item Responses'!I$2:I$5000)</x:f>
        <x:v>0</x:v>
      </x:c>
      <x:c r="E9" s="51" t="str">
        <x:f>IFERROR(D9/C9,"")</x:f>
      </x:c>
      <x:c r="F9" s="52" t="str">
        <x:f>IFERROR(AVERAGEIF('Item Responses'!F$2:F$5000,A9,'Item Responses'!N$2:N$5000),"")</x:f>
      </x:c>
      <x:c r="G9" s="44" t="n">
        <x:f>COUNTIFS('Item Responses'!F$2:F$5000,A9,'Item Responses'!O$2:O$5000,1)</x:f>
        <x:v>0</x:v>
      </x:c>
      <x:c r="H9" s="59" t="n">
        <x:f>SUMIF('Item Responses'!F$2:F$5000,A9,'Item Responses'!Q$2:Q$5000)</x:f>
        <x:v>0</x:v>
      </x:c>
    </x:row>
    <x:row r="10">
      <x:c r="A10" s="64" t="str">
        <x:v>semi_hard</x:v>
      </x:c>
      <x:c r="B10" s="65" t="str">
        <x:v>Semi-Hard</x:v>
      </x:c>
      <x:c r="C10" s="65" t="n">
        <x:f>COUNTIF('Item Responses'!F$2:F$5000,A10)</x:f>
        <x:v>0</x:v>
      </x:c>
      <x:c r="D10" s="65" t="n">
        <x:f>SUMIF('Item Responses'!F$2:F$5000,A10,'Item Responses'!I$2:I$5000)</x:f>
        <x:v>0</x:v>
      </x:c>
      <x:c r="E10" s="66" t="str">
        <x:f>IFERROR(D10/C10,"")</x:f>
      </x:c>
      <x:c r="F10" s="67" t="str">
        <x:f>IFERROR(AVERAGEIF('Item Responses'!F$2:F$5000,A10,'Item Responses'!N$2:N$5000),"")</x:f>
      </x:c>
      <x:c r="G10" s="65" t="n">
        <x:f>COUNTIFS('Item Responses'!F$2:F$5000,A10,'Item Responses'!O$2:O$5000,1)</x:f>
        <x:v>0</x:v>
      </x:c>
      <x:c r="H10" s="68" t="n">
        <x:f>SUMIF('Item Responses'!F$2:F$5000,A10,'Item Responses'!Q$2:Q$5000)</x:f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</x:cols>
  <x:sheetData>
    <x:row r="1">
      <x:c r="A1" s="69" t="str">
        <x:v>testType</x:v>
      </x:c>
      <x:c r="B1" s="70" t="str">
        <x:v>schemaVersion</x:v>
      </x:c>
      <x:c r="C1" s="70" t="str">
        <x:v>sessionId</x:v>
      </x:c>
      <x:c r="D1" s="70" t="str">
        <x:v>timestamp</x:v>
      </x:c>
      <x:c r="E1" s="70" t="str">
        <x:v>age</x:v>
      </x:c>
      <x:c r="F1" s="70" t="str">
        <x:v>completed</x:v>
      </x:c>
      <x:c r="G1" s="70" t="str">
        <x:v>totalItemsExpected</x:v>
      </x:c>
      <x:c r="H1" s="70" t="str">
        <x:v>totalScore</x:v>
      </x:c>
      <x:c r="I1" s="70" t="str">
        <x:v>maxScore</x:v>
      </x:c>
      <x:c r="J1" s="70" t="str">
        <x:v>accuracy</x:v>
      </x:c>
      <x:c r="K1" s="70" t="str">
        <x:v>itemsCompleted</x:v>
      </x:c>
      <x:c r="L1" s="70" t="str">
        <x:v>meanResponseTimeMs</x:v>
      </x:c>
      <x:c r="M1" s="70" t="str">
        <x:v>timedOutCount</x:v>
      </x:c>
      <x:c r="N1" s="70" t="str">
        <x:v>skippedCount</x:v>
      </x:c>
      <x:c r="O1" s="70" t="str">
        <x:v>repeatCount</x:v>
      </x:c>
      <x:c r="P1" s="70" t="str">
        <x:v>scaledEstimate</x:v>
      </x:c>
      <x:c r="Q1" s="70" t="str">
        <x:v>speechRate</x:v>
      </x:c>
      <x:c r="R1" s="70" t="str">
        <x:v>very_easy_correct</x:v>
      </x:c>
      <x:c r="S1" s="70" t="str">
        <x:v>very_easy_max</x:v>
      </x:c>
      <x:c r="T1" s="70" t="str">
        <x:v>very_easy_pct</x:v>
      </x:c>
      <x:c r="U1" s="70" t="str">
        <x:v>easy_correct</x:v>
      </x:c>
      <x:c r="V1" s="70" t="str">
        <x:v>easy_max</x:v>
      </x:c>
      <x:c r="W1" s="70" t="str">
        <x:v>easy_pct</x:v>
      </x:c>
      <x:c r="X1" s="70" t="str">
        <x:v>medium_correct</x:v>
      </x:c>
      <x:c r="Y1" s="70" t="str">
        <x:v>medium_max</x:v>
      </x:c>
      <x:c r="Z1" s="70" t="str">
        <x:v>medium_pct</x:v>
      </x:c>
      <x:c r="AA1" s="70" t="str">
        <x:v>semi_hard_correct</x:v>
      </x:c>
      <x:c r="AB1" s="70" t="str">
        <x:v>semi_hard_max</x:v>
      </x:c>
      <x:c r="AC1" s="71" t="str">
        <x:v>semi_hard_pct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.130000114440918" hidden="0" customWidth="1"/>
    <x:col min="2" max="2" width="13.130000114440918" hidden="0" customWidth="1"/>
    <x:col min="3" max="3" width="13.130000114440918" hidden="0" customWidth="1"/>
    <x:col min="4" max="4" width="13.130000114440918" hidden="0" customWidth="1"/>
    <x:col min="5" max="5" width="13.130000114440918" hidden="0" customWidth="1"/>
    <x:col min="6" max="6" width="13.130000114440918" hidden="0" customWidth="1"/>
    <x:col min="7" max="7" width="13.130000114440918" hidden="0" customWidth="1"/>
    <x:col min="8" max="8" width="22.5" hidden="0" customWidth="1"/>
    <x:col min="9" max="9" width="13.130000114440918" hidden="0" customWidth="1"/>
    <x:col min="10" max="10" width="13.130000114440918" hidden="0" customWidth="1"/>
    <x:col min="11" max="11" width="15" hidden="0" customWidth="1"/>
    <x:col min="12" max="12" width="15" hidden="0" customWidth="1"/>
    <x:col min="13" max="13" width="13.130000114440918" hidden="0" customWidth="1"/>
    <x:col min="14" max="14" width="13.130000114440918" hidden="0" customWidth="1"/>
    <x:col min="15" max="15" width="13.130000114440918" hidden="0" customWidth="1"/>
    <x:col min="16" max="16" width="13.130000114440918" hidden="0" customWidth="1"/>
    <x:col min="17" max="17" width="13.130000114440918" hidden="0" customWidth="1"/>
    <x:col min="18" max="18" width="13.130000114440918" hidden="0" customWidth="1"/>
    <x:col min="19" max="19" width="17.5" hidden="0" customWidth="1"/>
  </x:cols>
  <x:sheetData>
    <x:row r="1">
      <x:c r="A1" s="69" t="str">
        <x:v>sessionId</x:v>
      </x:c>
      <x:c r="B1" s="70" t="str">
        <x:v>timestamp</x:v>
      </x:c>
      <x:c r="C1" s="70" t="str">
        <x:v>age</x:v>
      </x:c>
      <x:c r="D1" s="70" t="str">
        <x:v>itemPosition</x:v>
      </x:c>
      <x:c r="E1" s="70" t="str">
        <x:v>itemId</x:v>
      </x:c>
      <x:c r="F1" s="70" t="str">
        <x:v>tier</x:v>
      </x:c>
      <x:c r="G1" s="70" t="str">
        <x:v>tierLabel</x:v>
      </x:c>
      <x:c r="H1" s="70" t="str">
        <x:v>concept</x:v>
      </x:c>
      <x:c r="I1" s="70" t="str">
        <x:v>score</x:v>
      </x:c>
      <x:c r="J1" s="70" t="str">
        <x:v>correct</x:v>
      </x:c>
      <x:c r="K1" s="70" t="str">
        <x:v>rawAnswer</x:v>
      </x:c>
      <x:c r="L1" s="70" t="str">
        <x:v>correctAnswer</x:v>
      </x:c>
      <x:c r="M1" s="70" t="str">
        <x:v>responseTimeMs</x:v>
      </x:c>
      <x:c r="N1" s="70" t="str">
        <x:v>responseTimeSec</x:v>
      </x:c>
      <x:c r="O1" s="70" t="str">
        <x:v>timedOut</x:v>
      </x:c>
      <x:c r="P1" s="70" t="str">
        <x:v>skipped</x:v>
      </x:c>
      <x:c r="Q1" s="70" t="str">
        <x:v>repeatCount</x:v>
      </x:c>
      <x:c r="R1" s="70" t="str">
        <x:v>seedAccuracy</x:v>
      </x:c>
      <x:c r="S1" s="71" t="str">
        <x:v>seedMedianSeconds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3.130000114440918" hidden="0" customWidth="1"/>
    <x:col min="2" max="2" width="13.130000114440918" hidden="0" customWidth="1"/>
    <x:col min="3" max="3" width="14.380000114440918" hidden="0" customWidth="1"/>
    <x:col min="4" max="4" width="22.5" hidden="0" customWidth="1"/>
    <x:col min="5" max="5" width="65" hidden="0" customWidth="1"/>
    <x:col min="6" max="6" width="14.380000114440918" hidden="0" customWidth="1"/>
    <x:col min="7" max="7" width="14.380000114440918" hidden="0" customWidth="1"/>
    <x:col min="8" max="8" width="16.25" hidden="0" customWidth="1"/>
    <x:col min="9" max="9" width="28.75" hidden="0" customWidth="1"/>
    <x:col min="10" max="10" width="22.5" hidden="0" customWidth="1"/>
  </x:cols>
  <x:sheetData>
    <x:row r="1">
      <x:c r="A1" s="72" t="str">
        <x:v>itemId</x:v>
      </x:c>
      <x:c r="B1" s="73" t="str">
        <x:v>tier</x:v>
      </x:c>
      <x:c r="C1" s="73" t="str">
        <x:v>tierLabel</x:v>
      </x:c>
      <x:c r="D1" s="73" t="str">
        <x:v>concept</x:v>
      </x:c>
      <x:c r="E1" s="73" t="str">
        <x:v>prompt</x:v>
      </x:c>
      <x:c r="F1" s="73" t="str">
        <x:v>correctAnswer</x:v>
      </x:c>
      <x:c r="G1" s="73" t="str">
        <x:v>seedAccuracy</x:v>
      </x:c>
      <x:c r="H1" s="73" t="str">
        <x:v>seedMedianSeconds</x:v>
      </x:c>
      <x:c r="I1" s="73" t="str">
        <x:v>source</x:v>
      </x:c>
      <x:c r="J1" s="74" t="str">
        <x:v>normStatus</x:v>
      </x:c>
    </x:row>
    <x:row r="2">
      <x:c r="A2" s="58" t="str">
        <x:v>AR-VE-01</x:v>
      </x:c>
      <x:c r="B2" s="44" t="str">
        <x:v>very_easy</x:v>
      </x:c>
      <x:c r="C2" s="44" t="str">
        <x:v>Very Easy</x:v>
      </x:c>
      <x:c r="D2" s="44" t="str">
        <x:v>Simple addition</x:v>
      </x:c>
      <x:c r="E2" s="44" t="str">
        <x:v>If you have 3 apples and buy 4 more, how many apples do you have in total?</x:v>
      </x:c>
      <x:c r="F2" s="44" t="n">
        <x:v>7</x:v>
      </x:c>
      <x:c r="G2" s="51" t="n">
        <x:v>0.95</x:v>
      </x:c>
      <x:c r="H2" s="44" t="n">
        <x:v>7</x:v>
      </x:c>
      <x:c r="I2" s="44" t="str">
        <x:v>Original non-proprietary WAIS-inspired practice item</x:v>
      </x:c>
      <x:c r="J2" s="59" t="str">
        <x:v>Collect local item-level data</x:v>
      </x:c>
    </x:row>
    <x:row r="3">
      <x:c r="A3" s="58" t="str">
        <x:v>AR-VE-02</x:v>
      </x:c>
      <x:c r="B3" s="44" t="str">
        <x:v>very_easy</x:v>
      </x:c>
      <x:c r="C3" s="44" t="str">
        <x:v>Very Easy</x:v>
      </x:c>
      <x:c r="D3" s="44" t="str">
        <x:v>Simple subtraction</x:v>
      </x:c>
      <x:c r="E3" s="44" t="str">
        <x:v>A box holds 10 pencils. If you take out 3, how many pencils are left in the box?</x:v>
      </x:c>
      <x:c r="F3" s="44" t="n">
        <x:v>7</x:v>
      </x:c>
      <x:c r="G3" s="51" t="n">
        <x:v>0.95</x:v>
      </x:c>
      <x:c r="H3" s="44" t="n">
        <x:v>7</x:v>
      </x:c>
      <x:c r="I3" s="44" t="str">
        <x:v>Original non-proprietary WAIS-inspired practice item</x:v>
      </x:c>
      <x:c r="J3" s="59" t="str">
        <x:v>Collect local item-level data</x:v>
      </x:c>
    </x:row>
    <x:row r="4">
      <x:c r="A4" s="58" t="str">
        <x:v>AR-VE-03</x:v>
      </x:c>
      <x:c r="B4" s="44" t="str">
        <x:v>very_easy</x:v>
      </x:c>
      <x:c r="C4" s="44" t="str">
        <x:v>Very Easy</x:v>
      </x:c>
      <x:c r="D4" s="44" t="str">
        <x:v>Simple addition</x:v>
      </x:c>
      <x:c r="E4" s="44" t="str">
        <x:v>Tom has 5 books and Susan has 6 books. How many books do they have together?</x:v>
      </x:c>
      <x:c r="F4" s="44" t="n">
        <x:v>11</x:v>
      </x:c>
      <x:c r="G4" s="51" t="n">
        <x:v>0.95</x:v>
      </x:c>
      <x:c r="H4" s="44" t="n">
        <x:v>7</x:v>
      </x:c>
      <x:c r="I4" s="44" t="str">
        <x:v>Original non-proprietary WAIS-inspired practice item</x:v>
      </x:c>
      <x:c r="J4" s="59" t="str">
        <x:v>Collect local item-level data</x:v>
      </x:c>
    </x:row>
    <x:row r="5">
      <x:c r="A5" s="58" t="str">
        <x:v>AR-VE-04</x:v>
      </x:c>
      <x:c r="B5" s="44" t="str">
        <x:v>very_easy</x:v>
      </x:c>
      <x:c r="C5" s="44" t="str">
        <x:v>Very Easy</x:v>
      </x:c>
      <x:c r="D5" s="44" t="str">
        <x:v>Simple multiplication</x:v>
      </x:c>
      <x:c r="E5" s="44" t="str">
        <x:v>A movie ticket costs 8 dollars. How much do 2 tickets cost?</x:v>
      </x:c>
      <x:c r="F5" s="44" t="n">
        <x:v>16</x:v>
      </x:c>
      <x:c r="G5" s="51" t="n">
        <x:v>0.95</x:v>
      </x:c>
      <x:c r="H5" s="44" t="n">
        <x:v>7</x:v>
      </x:c>
      <x:c r="I5" s="44" t="str">
        <x:v>Original non-proprietary WAIS-inspired practice item</x:v>
      </x:c>
      <x:c r="J5" s="59" t="str">
        <x:v>Collect local item-level data</x:v>
      </x:c>
    </x:row>
    <x:row r="6">
      <x:c r="A6" s="58" t="str">
        <x:v>AR-VE-05</x:v>
      </x:c>
      <x:c r="B6" s="44" t="str">
        <x:v>very_easy</x:v>
      </x:c>
      <x:c r="C6" s="44" t="str">
        <x:v>Very Easy</x:v>
      </x:c>
      <x:c r="D6" s="44" t="str">
        <x:v>Simple subtraction</x:v>
      </x:c>
      <x:c r="E6" s="44" t="str">
        <x:v>You start with 15 marbles and lose 5 of them. How many marbles do you have left?</x:v>
      </x:c>
      <x:c r="F6" s="44" t="n">
        <x:v>10</x:v>
      </x:c>
      <x:c r="G6" s="51" t="n">
        <x:v>0.95</x:v>
      </x:c>
      <x:c r="H6" s="44" t="n">
        <x:v>7</x:v>
      </x:c>
      <x:c r="I6" s="44" t="str">
        <x:v>Original non-proprietary WAIS-inspired practice item</x:v>
      </x:c>
      <x:c r="J6" s="59" t="str">
        <x:v>Collect local item-level data</x:v>
      </x:c>
    </x:row>
    <x:row r="7">
      <x:c r="A7" s="58" t="str">
        <x:v>AR-VE-06</x:v>
      </x:c>
      <x:c r="B7" s="44" t="str">
        <x:v>very_easy</x:v>
      </x:c>
      <x:c r="C7" s="44" t="str">
        <x:v>Very Easy</x:v>
      </x:c>
      <x:c r="D7" s="44" t="str">
        <x:v>Simple subtraction</x:v>
      </x:c>
      <x:c r="E7" s="44" t="str">
        <x:v>A baker makes 12 cupcakes and sells 4 of them. How many cupcakes are left?</x:v>
      </x:c>
      <x:c r="F7" s="44" t="n">
        <x:v>8</x:v>
      </x:c>
      <x:c r="G7" s="51" t="n">
        <x:v>0.95</x:v>
      </x:c>
      <x:c r="H7" s="44" t="n">
        <x:v>7</x:v>
      </x:c>
      <x:c r="I7" s="44" t="str">
        <x:v>Original non-proprietary WAIS-inspired practice item</x:v>
      </x:c>
      <x:c r="J7" s="59" t="str">
        <x:v>Collect local item-level data</x:v>
      </x:c>
    </x:row>
    <x:row r="8">
      <x:c r="A8" s="58" t="str">
        <x:v>AR-VE-07</x:v>
      </x:c>
      <x:c r="B8" s="44" t="str">
        <x:v>very_easy</x:v>
      </x:c>
      <x:c r="C8" s="44" t="str">
        <x:v>Very Easy</x:v>
      </x:c>
      <x:c r="D8" s="44" t="str">
        <x:v>Linear scaling</x:v>
      </x:c>
      <x:c r="E8" s="44" t="str">
        <x:v>If a plant grows 2 inches every week, how many inches will it grow in 4 weeks?</x:v>
      </x:c>
      <x:c r="F8" s="44" t="n">
        <x:v>8</x:v>
      </x:c>
      <x:c r="G8" s="51" t="n">
        <x:v>0.95</x:v>
      </x:c>
      <x:c r="H8" s="44" t="n">
        <x:v>7</x:v>
      </x:c>
      <x:c r="I8" s="44" t="str">
        <x:v>Original non-proprietary WAIS-inspired practice item</x:v>
      </x:c>
      <x:c r="J8" s="59" t="str">
        <x:v>Collect local item-level data</x:v>
      </x:c>
    </x:row>
    <x:row r="9">
      <x:c r="A9" s="58" t="str">
        <x:v>AR-VE-08</x:v>
      </x:c>
      <x:c r="B9" s="44" t="str">
        <x:v>very_easy</x:v>
      </x:c>
      <x:c r="C9" s="44" t="str">
        <x:v>Very Easy</x:v>
      </x:c>
      <x:c r="D9" s="44" t="str">
        <x:v>Simple subtraction</x:v>
      </x:c>
      <x:c r="E9" s="44" t="str">
        <x:v>A pack of gum has 8 pieces. If you share 3 pieces with friends, how many pieces do you keep?</x:v>
      </x:c>
      <x:c r="F9" s="44" t="n">
        <x:v>5</x:v>
      </x:c>
      <x:c r="G9" s="51" t="n">
        <x:v>0.95</x:v>
      </x:c>
      <x:c r="H9" s="44" t="n">
        <x:v>7</x:v>
      </x:c>
      <x:c r="I9" s="44" t="str">
        <x:v>Original non-proprietary WAIS-inspired practice item</x:v>
      </x:c>
      <x:c r="J9" s="59" t="str">
        <x:v>Collect local item-level data</x:v>
      </x:c>
    </x:row>
    <x:row r="10">
      <x:c r="A10" s="58" t="str">
        <x:v>AR-VE-09</x:v>
      </x:c>
      <x:c r="B10" s="44" t="str">
        <x:v>very_easy</x:v>
      </x:c>
      <x:c r="C10" s="44" t="str">
        <x:v>Very Easy</x:v>
      </x:c>
      <x:c r="D10" s="44" t="str">
        <x:v>Currency subtraction</x:v>
      </x:c>
      <x:c r="E10" s="44" t="str">
        <x:v>You have 20 dollars and spend 6 dollars on lunch. How much money do you have left?</x:v>
      </x:c>
      <x:c r="F10" s="44" t="n">
        <x:v>14</x:v>
      </x:c>
      <x:c r="G10" s="51" t="n">
        <x:v>0.95</x:v>
      </x:c>
      <x:c r="H10" s="44" t="n">
        <x:v>7</x:v>
      </x:c>
      <x:c r="I10" s="44" t="str">
        <x:v>Original non-proprietary WAIS-inspired practice item</x:v>
      </x:c>
      <x:c r="J10" s="59" t="str">
        <x:v>Collect local item-level data</x:v>
      </x:c>
    </x:row>
    <x:row r="11">
      <x:c r="A11" s="58" t="str">
        <x:v>AR-VE-10</x:v>
      </x:c>
      <x:c r="B11" s="44" t="str">
        <x:v>very_easy</x:v>
      </x:c>
      <x:c r="C11" s="44" t="str">
        <x:v>Very Easy</x:v>
      </x:c>
      <x:c r="D11" s="44" t="str">
        <x:v>Tracking quantities</x:v>
      </x:c>
      <x:c r="E11" s="44" t="str">
        <x:v>A bus has 14 passengers. At the first stop, 3 passengers get off. How many passengers remain?</x:v>
      </x:c>
      <x:c r="F11" s="44" t="n">
        <x:v>11</x:v>
      </x:c>
      <x:c r="G11" s="51" t="n">
        <x:v>0.95</x:v>
      </x:c>
      <x:c r="H11" s="44" t="n">
        <x:v>7</x:v>
      </x:c>
      <x:c r="I11" s="44" t="str">
        <x:v>Original non-proprietary WAIS-inspired practice item</x:v>
      </x:c>
      <x:c r="J11" s="59" t="str">
        <x:v>Collect local item-level data</x:v>
      </x:c>
    </x:row>
    <x:row r="12">
      <x:c r="A12" s="58" t="str">
        <x:v>AR-E-01</x:v>
      </x:c>
      <x:c r="B12" s="44" t="str">
        <x:v>easy</x:v>
      </x:c>
      <x:c r="C12" s="44" t="str">
        <x:v>Easy</x:v>
      </x:c>
      <x:c r="D12" s="44" t="str">
        <x:v>Order of operations</x:v>
      </x:c>
      <x:c r="E12" s="44" t="str">
        <x:v>If you buy 3 sodas for 2 dollars each and a bag of chips for 3 dollars, what is the total cost?</x:v>
      </x:c>
      <x:c r="F12" s="44" t="n">
        <x:v>9</x:v>
      </x:c>
      <x:c r="G12" s="51" t="n">
        <x:v>0.86</x:v>
      </x:c>
      <x:c r="H12" s="44" t="n">
        <x:v>11</x:v>
      </x:c>
      <x:c r="I12" s="44" t="str">
        <x:v>Original non-proprietary WAIS-inspired practice item</x:v>
      </x:c>
      <x:c r="J12" s="59" t="str">
        <x:v>Collect local item-level data</x:v>
      </x:c>
    </x:row>
    <x:row r="13">
      <x:c r="A13" s="58" t="str">
        <x:v>AR-E-02</x:v>
      </x:c>
      <x:c r="B13" s="44" t="str">
        <x:v>easy</x:v>
      </x:c>
      <x:c r="C13" s="44" t="str">
        <x:v>Easy</x:v>
      </x:c>
      <x:c r="D13" s="44" t="str">
        <x:v>Rate and distance</x:v>
      </x:c>
      <x:c r="E13" s="44" t="str">
        <x:v>A car travels at a steady speed of 40 miles per hour. How far will it travel in 3 hours?</x:v>
      </x:c>
      <x:c r="F13" s="44" t="n">
        <x:v>120</x:v>
      </x:c>
      <x:c r="G13" s="51" t="n">
        <x:v>0.86</x:v>
      </x:c>
      <x:c r="H13" s="44" t="n">
        <x:v>11</x:v>
      </x:c>
      <x:c r="I13" s="44" t="str">
        <x:v>Original non-proprietary WAIS-inspired practice item</x:v>
      </x:c>
      <x:c r="J13" s="59" t="str">
        <x:v>Collect local item-level data</x:v>
      </x:c>
    </x:row>
    <x:row r="14">
      <x:c r="A14" s="58" t="str">
        <x:v>AR-E-03</x:v>
      </x:c>
      <x:c r="B14" s="44" t="str">
        <x:v>easy</x:v>
      </x:c>
      <x:c r="C14" s="44" t="str">
        <x:v>Easy</x:v>
      </x:c>
      <x:c r="D14" s="44" t="str">
        <x:v>Simple division</x:v>
      </x:c>
      <x:c r="E14" s="44" t="str">
        <x:v>A teacher divides 24 students into equal groups of 4. How many groups are there?</x:v>
      </x:c>
      <x:c r="F14" s="44" t="n">
        <x:v>6</x:v>
      </x:c>
      <x:c r="G14" s="51" t="n">
        <x:v>0.86</x:v>
      </x:c>
      <x:c r="H14" s="44" t="n">
        <x:v>11</x:v>
      </x:c>
      <x:c r="I14" s="44" t="str">
        <x:v>Original non-proprietary WAIS-inspired practice item</x:v>
      </x:c>
      <x:c r="J14" s="59" t="str">
        <x:v>Collect local item-level data</x:v>
      </x:c>
    </x:row>
    <x:row r="15">
      <x:c r="A15" s="58" t="str">
        <x:v>AR-E-04</x:v>
      </x:c>
      <x:c r="B15" s="44" t="str">
        <x:v>easy</x:v>
      </x:c>
      <x:c r="C15" s="44" t="str">
        <x:v>Easy</x:v>
      </x:c>
      <x:c r="D15" s="44" t="str">
        <x:v>Basic fractions</x:v>
      </x:c>
      <x:c r="E15" s="44" t="str">
        <x:v>Mark has 18 baseball cards. He gives half of them to his brother. How many cards does Mark have left?</x:v>
      </x:c>
      <x:c r="F15" s="44" t="n">
        <x:v>9</x:v>
      </x:c>
      <x:c r="G15" s="51" t="n">
        <x:v>0.86</x:v>
      </x:c>
      <x:c r="H15" s="44" t="n">
        <x:v>11</x:v>
      </x:c>
      <x:c r="I15" s="44" t="str">
        <x:v>Original non-proprietary WAIS-inspired practice item</x:v>
      </x:c>
      <x:c r="J15" s="59" t="str">
        <x:v>Collect local item-level data</x:v>
      </x:c>
    </x:row>
    <x:row r="16">
      <x:c r="A16" s="58" t="str">
        <x:v>AR-E-05</x:v>
      </x:c>
      <x:c r="B16" s="44" t="str">
        <x:v>easy</x:v>
      </x:c>
      <x:c r="C16" s="44" t="str">
        <x:v>Easy</x:v>
      </x:c>
      <x:c r="D16" s="44" t="str">
        <x:v>Multi-step tracking</x:v>
      </x:c>
      <x:c r="E16" s="44" t="str">
        <x:v>A pizza is cut into 8 slices. If 3 people eat 2 slices each, how many slices are left?</x:v>
      </x:c>
      <x:c r="F16" s="44" t="n">
        <x:v>2</x:v>
      </x:c>
      <x:c r="G16" s="51" t="n">
        <x:v>0.86</x:v>
      </x:c>
      <x:c r="H16" s="44" t="n">
        <x:v>11</x:v>
      </x:c>
      <x:c r="I16" s="44" t="str">
        <x:v>Original non-proprietary WAIS-inspired practice item</x:v>
      </x:c>
      <x:c r="J16" s="59" t="str">
        <x:v>Collect local item-level data</x:v>
      </x:c>
    </x:row>
    <x:row r="17">
      <x:c r="A17" s="58" t="str">
        <x:v>AR-E-06</x:v>
      </x:c>
      <x:c r="B17" s="44" t="str">
        <x:v>easy</x:v>
      </x:c>
      <x:c r="C17" s="44" t="str">
        <x:v>Easy</x:v>
      </x:c>
      <x:c r="D17" s="44" t="str">
        <x:v>Change making</x:v>
      </x:c>
      <x:c r="E17" s="44" t="str">
        <x:v>You buy a book for 13 dollars and pay with a 20 dollar bill. How much change do you receive?</x:v>
      </x:c>
      <x:c r="F17" s="44" t="n">
        <x:v>7</x:v>
      </x:c>
      <x:c r="G17" s="51" t="n">
        <x:v>0.86</x:v>
      </x:c>
      <x:c r="H17" s="44" t="n">
        <x:v>11</x:v>
      </x:c>
      <x:c r="I17" s="44" t="str">
        <x:v>Original non-proprietary WAIS-inspired practice item</x:v>
      </x:c>
      <x:c r="J17" s="59" t="str">
        <x:v>Collect local item-level data</x:v>
      </x:c>
    </x:row>
    <x:row r="18">
      <x:c r="A18" s="58" t="str">
        <x:v>AR-E-07</x:v>
      </x:c>
      <x:c r="B18" s="44" t="str">
        <x:v>easy</x:v>
      </x:c>
      <x:c r="C18" s="44" t="str">
        <x:v>Easy</x:v>
      </x:c>
      <x:c r="D18" s="44" t="str">
        <x:v>Double-digit product</x:v>
      </x:c>
      <x:c r="E18" s="44" t="str">
        <x:v>A runner completes 4 laps of a track. Each lap takes 90 seconds. How many total seconds did it take?</x:v>
      </x:c>
      <x:c r="F18" s="44" t="n">
        <x:v>360</x:v>
      </x:c>
      <x:c r="G18" s="51" t="n">
        <x:v>0.86</x:v>
      </x:c>
      <x:c r="H18" s="44" t="n">
        <x:v>11</x:v>
      </x:c>
      <x:c r="I18" s="44" t="str">
        <x:v>Original non-proprietary WAIS-inspired practice item</x:v>
      </x:c>
      <x:c r="J18" s="59" t="str">
        <x:v>Collect local item-level data</x:v>
      </x:c>
    </x:row>
    <x:row r="19">
      <x:c r="A19" s="58" t="str">
        <x:v>AR-E-08</x:v>
      </x:c>
      <x:c r="B19" s="44" t="str">
        <x:v>easy</x:v>
      </x:c>
      <x:c r="C19" s="44" t="str">
        <x:v>Easy</x:v>
      </x:c>
      <x:c r="D19" s="44" t="str">
        <x:v>Unit pricing</x:v>
      </x:c>
      <x:c r="E19" s="44" t="str">
        <x:v>If 5 identical shirts cost a total of 50 dollars, how much does one shirt cost?</x:v>
      </x:c>
      <x:c r="F19" s="44" t="n">
        <x:v>10</x:v>
      </x:c>
      <x:c r="G19" s="51" t="n">
        <x:v>0.86</x:v>
      </x:c>
      <x:c r="H19" s="44" t="n">
        <x:v>11</x:v>
      </x:c>
      <x:c r="I19" s="44" t="str">
        <x:v>Original non-proprietary WAIS-inspired practice item</x:v>
      </x:c>
      <x:c r="J19" s="59" t="str">
        <x:v>Collect local item-level data</x:v>
      </x:c>
    </x:row>
    <x:row r="20">
      <x:c r="A20" s="58" t="str">
        <x:v>AR-E-09</x:v>
      </x:c>
      <x:c r="B20" s="44" t="str">
        <x:v>easy</x:v>
      </x:c>
      <x:c r="C20" s="44" t="str">
        <x:v>Easy</x:v>
      </x:c>
      <x:c r="D20" s="44" t="str">
        <x:v>Sequential tracking</x:v>
      </x:c>
      <x:c r="E20" s="44" t="str">
        <x:v>A water tank holds 50 gallons. If 15 gallons leak out and you then add 5 gallons, how much is left?</x:v>
      </x:c>
      <x:c r="F20" s="44" t="n">
        <x:v>40</x:v>
      </x:c>
      <x:c r="G20" s="51" t="n">
        <x:v>0.86</x:v>
      </x:c>
      <x:c r="H20" s="44" t="n">
        <x:v>11</x:v>
      </x:c>
      <x:c r="I20" s="44" t="str">
        <x:v>Original non-proprietary WAIS-inspired practice item</x:v>
      </x:c>
      <x:c r="J20" s="59" t="str">
        <x:v>Collect local item-level data</x:v>
      </x:c>
    </x:row>
    <x:row r="21">
      <x:c r="A21" s="58" t="str">
        <x:v>AR-E-10</x:v>
      </x:c>
      <x:c r="B21" s="44" t="str">
        <x:v>easy</x:v>
      </x:c>
      <x:c r="C21" s="44" t="str">
        <x:v>Easy</x:v>
      </x:c>
      <x:c r="D21" s="44" t="str">
        <x:v>Three-value summation</x:v>
      </x:c>
      <x:c r="E21" s="44" t="str">
        <x:v>A box contains 3 red balls, 4 blue balls, and 5 green balls. How many balls are in the box in total?</x:v>
      </x:c>
      <x:c r="F21" s="44" t="n">
        <x:v>12</x:v>
      </x:c>
      <x:c r="G21" s="51" t="n">
        <x:v>0.86</x:v>
      </x:c>
      <x:c r="H21" s="44" t="n">
        <x:v>11</x:v>
      </x:c>
      <x:c r="I21" s="44" t="str">
        <x:v>Original non-proprietary WAIS-inspired practice item</x:v>
      </x:c>
      <x:c r="J21" s="59" t="str">
        <x:v>Collect local item-level data</x:v>
      </x:c>
    </x:row>
    <x:row r="22">
      <x:c r="A22" s="58" t="str">
        <x:v>AR-M-01</x:v>
      </x:c>
      <x:c r="B22" s="44" t="str">
        <x:v>medium</x:v>
      </x:c>
      <x:c r="C22" s="44" t="str">
        <x:v>Medium</x:v>
      </x:c>
      <x:c r="D22" s="44" t="str">
        <x:v>Percentage discount</x:v>
      </x:c>
      <x:c r="E22" s="44" t="str">
        <x:v>A shirt regularly costs 40 dollars but is on sale for 25 percent off. What is the sale price of the shirt?</x:v>
      </x:c>
      <x:c r="F22" s="44" t="n">
        <x:v>30</x:v>
      </x:c>
      <x:c r="G22" s="51" t="n">
        <x:v>0.72</x:v>
      </x:c>
      <x:c r="H22" s="44" t="n">
        <x:v>17</x:v>
      </x:c>
      <x:c r="I22" s="44" t="str">
        <x:v>Original non-proprietary WAIS-inspired practice item</x:v>
      </x:c>
      <x:c r="J22" s="59" t="str">
        <x:v>Collect local item-level data</x:v>
      </x:c>
    </x:row>
    <x:row r="23">
      <x:c r="A23" s="58" t="str">
        <x:v>AR-M-02</x:v>
      </x:c>
      <x:c r="B23" s="44" t="str">
        <x:v>medium</x:v>
      </x:c>
      <x:c r="C23" s="44" t="str">
        <x:v>Medium</x:v>
      </x:c>
      <x:c r="D23" s="44" t="str">
        <x:v>Earnings minus expense</x:v>
      </x:c>
      <x:c r="E23" s="44" t="str">
        <x:v>You work for 5 hours at a rate of 12 dollars per hour. If you spend 15 dollars on dinner, how much remains?</x:v>
      </x:c>
      <x:c r="F23" s="44" t="n">
        <x:v>45</x:v>
      </x:c>
      <x:c r="G23" s="51" t="n">
        <x:v>0.72</x:v>
      </x:c>
      <x:c r="H23" s="44" t="n">
        <x:v>17</x:v>
      </x:c>
      <x:c r="I23" s="44" t="str">
        <x:v>Original non-proprietary WAIS-inspired practice item</x:v>
      </x:c>
      <x:c r="J23" s="59" t="str">
        <x:v>Collect local item-level data</x:v>
      </x:c>
    </x:row>
    <x:row r="24">
      <x:c r="A24" s="58" t="str">
        <x:v>AR-M-03</x:v>
      </x:c>
      <x:c r="B24" s="44" t="str">
        <x:v>medium</x:v>
      </x:c>
      <x:c r="C24" s="44" t="str">
        <x:v>Medium</x:v>
      </x:c>
      <x:c r="D24" s="44" t="str">
        <x:v>Multiplication and subtraction</x:v>
      </x:c>
      <x:c r="E24" s="44" t="str">
        <x:v>An office orders 6 boxes of pens. Each box contains 12 pens. If they use 20 pens, how many are left?</x:v>
      </x:c>
      <x:c r="F24" s="44" t="n">
        <x:v>52</x:v>
      </x:c>
      <x:c r="G24" s="51" t="n">
        <x:v>0.72</x:v>
      </x:c>
      <x:c r="H24" s="44" t="n">
        <x:v>17</x:v>
      </x:c>
      <x:c r="I24" s="44" t="str">
        <x:v>Original non-proprietary WAIS-inspired practice item</x:v>
      </x:c>
      <x:c r="J24" s="59" t="str">
        <x:v>Collect local item-level data</x:v>
      </x:c>
    </x:row>
    <x:row r="25">
      <x:c r="A25" s="58" t="str">
        <x:v>AR-M-04</x:v>
      </x:c>
      <x:c r="B25" s="44" t="str">
        <x:v>medium</x:v>
      </x:c>
      <x:c r="C25" s="44" t="str">
        <x:v>Medium</x:v>
      </x:c>
      <x:c r="D25" s="44" t="str">
        <x:v>Flow tracking</x:v>
      </x:c>
      <x:c r="E25" s="44" t="str">
        <x:v>A train leaves with 100 passengers. At the first stop, 20 get off and 10 get on. How many are on it now?</x:v>
      </x:c>
      <x:c r="F25" s="44" t="n">
        <x:v>90</x:v>
      </x:c>
      <x:c r="G25" s="51" t="n">
        <x:v>0.72</x:v>
      </x:c>
      <x:c r="H25" s="44" t="n">
        <x:v>17</x:v>
      </x:c>
      <x:c r="I25" s="44" t="str">
        <x:v>Original non-proprietary WAIS-inspired practice item</x:v>
      </x:c>
      <x:c r="J25" s="59" t="str">
        <x:v>Collect local item-level data</x:v>
      </x:c>
    </x:row>
    <x:row r="26">
      <x:c r="A26" s="58" t="str">
        <x:v>AR-M-05</x:v>
      </x:c>
      <x:c r="B26" s="44" t="str">
        <x:v>medium</x:v>
      </x:c>
      <x:c r="C26" s="44" t="str">
        <x:v>Medium</x:v>
      </x:c>
      <x:c r="D26" s="44" t="str">
        <x:v>Ratio scaling</x:v>
      </x:c>
      <x:c r="E26" s="44" t="str">
        <x:v>If 3 pounds of apples cost 6 dollars, how much would 7 pounds of apples cost?</x:v>
      </x:c>
      <x:c r="F26" s="44" t="n">
        <x:v>14</x:v>
      </x:c>
      <x:c r="G26" s="51" t="n">
        <x:v>0.72</x:v>
      </x:c>
      <x:c r="H26" s="44" t="n">
        <x:v>17</x:v>
      </x:c>
      <x:c r="I26" s="44" t="str">
        <x:v>Original non-proprietary WAIS-inspired practice item</x:v>
      </x:c>
      <x:c r="J26" s="59" t="str">
        <x:v>Collect local item-level data</x:v>
      </x:c>
    </x:row>
    <x:row r="27">
      <x:c r="A27" s="58" t="str">
        <x:v>AR-M-06</x:v>
      </x:c>
      <x:c r="B27" s="44" t="str">
        <x:v>medium</x:v>
      </x:c>
      <x:c r="C27" s="44" t="str">
        <x:v>Medium</x:v>
      </x:c>
      <x:c r="D27" s="44" t="str">
        <x:v>Decimal manipulation</x:v>
      </x:c>
      <x:c r="E27" s="44" t="str">
        <x:v>A library book is overdue by 5 days. The fine is 50 cents per day. If you pay with a 5 dollar bill, what is your change?</x:v>
      </x:c>
      <x:c r="F27" s="44" t="str">
        <x:v>2.50</x:v>
      </x:c>
      <x:c r="G27" s="51" t="n">
        <x:v>0.72</x:v>
      </x:c>
      <x:c r="H27" s="44" t="n">
        <x:v>17</x:v>
      </x:c>
      <x:c r="I27" s="44" t="str">
        <x:v>Original non-proprietary WAIS-inspired practice item</x:v>
      </x:c>
      <x:c r="J27" s="59" t="str">
        <x:v>Collect local item-level data</x:v>
      </x:c>
    </x:row>
    <x:row r="28">
      <x:c r="A28" s="58" t="str">
        <x:v>AR-M-07</x:v>
      </x:c>
      <x:c r="B28" s="44" t="str">
        <x:v>medium</x:v>
      </x:c>
      <x:c r="C28" s="44" t="str">
        <x:v>Medium</x:v>
      </x:c>
      <x:c r="D28" s="44" t="str">
        <x:v>Geometric logic</x:v>
      </x:c>
      <x:c r="E28" s="44" t="str">
        <x:v>A rectangular garden is 6 feet wide and 8 feet long. What is the total perimeter of the garden?</x:v>
      </x:c>
      <x:c r="F28" s="44" t="n">
        <x:v>28</x:v>
      </x:c>
      <x:c r="G28" s="51" t="n">
        <x:v>0.72</x:v>
      </x:c>
      <x:c r="H28" s="44" t="n">
        <x:v>17</x:v>
      </x:c>
      <x:c r="I28" s="44" t="str">
        <x:v>Original non-proprietary WAIS-inspired practice item</x:v>
      </x:c>
      <x:c r="J28" s="59" t="str">
        <x:v>Collect local item-level data</x:v>
      </x:c>
    </x:row>
    <x:row r="29">
      <x:c r="A29" s="58" t="str">
        <x:v>AR-M-08</x:v>
      </x:c>
      <x:c r="B29" s="44" t="str">
        <x:v>medium</x:v>
      </x:c>
      <x:c r="C29" s="44" t="str">
        <x:v>Medium</x:v>
      </x:c>
      <x:c r="D29" s="44" t="str">
        <x:v>Remaining work</x:v>
      </x:c>
      <x:c r="E29" s="44" t="str">
        <x:v>You are reading a 120 page book. If you read 15 pages a day for 4 days, how many pages are left?</x:v>
      </x:c>
      <x:c r="F29" s="44" t="n">
        <x:v>60</x:v>
      </x:c>
      <x:c r="G29" s="51" t="n">
        <x:v>0.72</x:v>
      </x:c>
      <x:c r="H29" s="44" t="n">
        <x:v>17</x:v>
      </x:c>
      <x:c r="I29" s="44" t="str">
        <x:v>Original non-proprietary WAIS-inspired practice item</x:v>
      </x:c>
      <x:c r="J29" s="59" t="str">
        <x:v>Collect local item-level data</x:v>
      </x:c>
    </x:row>
    <x:row r="30">
      <x:c r="A30" s="58" t="str">
        <x:v>AR-M-09</x:v>
      </x:c>
      <x:c r="B30" s="44" t="str">
        <x:v>medium</x:v>
      </x:c>
      <x:c r="C30" s="44" t="str">
        <x:v>Medium</x:v>
      </x:c>
      <x:c r="D30" s="44" t="str">
        <x:v>Split-cost analysis</x:v>
      </x:c>
      <x:c r="E30" s="44" t="str">
        <x:v>A group of 4 friends splits a 48 dollar bill equally. If each friend leaves a 2 dollar tip, how much does each pay?</x:v>
      </x:c>
      <x:c r="F30" s="44" t="n">
        <x:v>14</x:v>
      </x:c>
      <x:c r="G30" s="51" t="n">
        <x:v>0.72</x:v>
      </x:c>
      <x:c r="H30" s="44" t="n">
        <x:v>17</x:v>
      </x:c>
      <x:c r="I30" s="44" t="str">
        <x:v>Original non-proprietary WAIS-inspired practice item</x:v>
      </x:c>
      <x:c r="J30" s="59" t="str">
        <x:v>Collect local item-level data</x:v>
      </x:c>
    </x:row>
    <x:row r="31">
      <x:c r="A31" s="58" t="str">
        <x:v>AR-M-10</x:v>
      </x:c>
      <x:c r="B31" s="44" t="str">
        <x:v>medium</x:v>
      </x:c>
      <x:c r="C31" s="44" t="str">
        <x:v>Medium</x:v>
      </x:c>
      <x:c r="D31" s="44" t="str">
        <x:v>Time-based tracking</x:v>
      </x:c>
      <x:c r="E31" s="44" t="str">
        <x:v>If a clock reads 2:45 PM, how many minutes must pass before it reaches 4:15 PM?</x:v>
      </x:c>
      <x:c r="F31" s="44" t="n">
        <x:v>90</x:v>
      </x:c>
      <x:c r="G31" s="51" t="n">
        <x:v>0.72</x:v>
      </x:c>
      <x:c r="H31" s="44" t="n">
        <x:v>17</x:v>
      </x:c>
      <x:c r="I31" s="44" t="str">
        <x:v>Original non-proprietary WAIS-inspired practice item</x:v>
      </x:c>
      <x:c r="J31" s="59" t="str">
        <x:v>Collect local item-level data</x:v>
      </x:c>
    </x:row>
    <x:row r="32">
      <x:c r="A32" s="58" t="str">
        <x:v>AR-SH-01</x:v>
      </x:c>
      <x:c r="B32" s="44" t="str">
        <x:v>semi_hard</x:v>
      </x:c>
      <x:c r="C32" s="44" t="str">
        <x:v>Semi-Hard</x:v>
      </x:c>
      <x:c r="D32" s="44" t="str">
        <x:v>Markup calculation</x:v>
      </x:c>
      <x:c r="E32" s="44" t="str">
        <x:v>A store buys a bicycle for 120 dollars and sells it for a 50 percent profit. What is the selling price?</x:v>
      </x:c>
      <x:c r="F32" s="44" t="n">
        <x:v>180</x:v>
      </x:c>
      <x:c r="G32" s="51" t="n">
        <x:v>0.58</x:v>
      </x:c>
      <x:c r="H32" s="44" t="n">
        <x:v>24</x:v>
      </x:c>
      <x:c r="I32" s="44" t="str">
        <x:v>Original non-proprietary WAIS-inspired practice item</x:v>
      </x:c>
      <x:c r="J32" s="59" t="str">
        <x:v>Collect local item-level data</x:v>
      </x:c>
    </x:row>
    <x:row r="33">
      <x:c r="A33" s="58" t="str">
        <x:v>AR-SH-02</x:v>
      </x:c>
      <x:c r="B33" s="44" t="str">
        <x:v>semi_hard</x:v>
      </x:c>
      <x:c r="C33" s="44" t="str">
        <x:v>Semi-Hard</x:v>
      </x:c>
      <x:c r="D33" s="44" t="str">
        <x:v>Linear equation tracking</x:v>
      </x:c>
      <x:c r="E33" s="44" t="str">
        <x:v>A taxi charges a base fee of 4 dollars plus 2 dollars per mile. If the total fare is 24 dollars, how many miles were driven?</x:v>
      </x:c>
      <x:c r="F33" s="44" t="n">
        <x:v>10</x:v>
      </x:c>
      <x:c r="G33" s="51" t="n">
        <x:v>0.58</x:v>
      </x:c>
      <x:c r="H33" s="44" t="n">
        <x:v>24</x:v>
      </x:c>
      <x:c r="I33" s="44" t="str">
        <x:v>Original non-proprietary WAIS-inspired practice item</x:v>
      </x:c>
      <x:c r="J33" s="59" t="str">
        <x:v>Collect local item-level data</x:v>
      </x:c>
    </x:row>
    <x:row r="34">
      <x:c r="A34" s="58" t="str">
        <x:v>AR-SH-03</x:v>
      </x:c>
      <x:c r="B34" s="44" t="str">
        <x:v>semi_hard</x:v>
      </x:c>
      <x:c r="C34" s="44" t="str">
        <x:v>Semi-Hard</x:v>
      </x:c>
      <x:c r="D34" s="44" t="str">
        <x:v>Proportional ratio split</x:v>
      </x:c>
      <x:c r="E34" s="44" t="str">
        <x:v>Three people invest money in a 3 to 2 to 1 ratio. If the total investment is 6000 dollars, how much did the middle person invest?</x:v>
      </x:c>
      <x:c r="F34" s="44" t="n">
        <x:v>2000</x:v>
      </x:c>
      <x:c r="G34" s="51" t="n">
        <x:v>0.58</x:v>
      </x:c>
      <x:c r="H34" s="44" t="n">
        <x:v>24</x:v>
      </x:c>
      <x:c r="I34" s="44" t="str">
        <x:v>Original non-proprietary WAIS-inspired practice item</x:v>
      </x:c>
      <x:c r="J34" s="59" t="str">
        <x:v>Collect local item-level data</x:v>
      </x:c>
    </x:row>
    <x:row r="35">
      <x:c r="A35" s="58" t="str">
        <x:v>AR-SH-04</x:v>
      </x:c>
      <x:c r="B35" s="44" t="str">
        <x:v>semi_hard</x:v>
      </x:c>
      <x:c r="C35" s="44" t="str">
        <x:v>Semi-Hard</x:v>
      </x:c>
      <x:c r="D35" s="44" t="str">
        <x:v>Net rate accumulation</x:v>
      </x:c>
      <x:c r="E35" s="44" t="str">
        <x:v>A pool fills at 15 gallons per minute and leaks at 3 gallons per minute. What is the net volume gain in 10 minutes?</x:v>
      </x:c>
      <x:c r="F35" s="44" t="n">
        <x:v>120</x:v>
      </x:c>
      <x:c r="G35" s="51" t="n">
        <x:v>0.58</x:v>
      </x:c>
      <x:c r="H35" s="44" t="n">
        <x:v>24</x:v>
      </x:c>
      <x:c r="I35" s="44" t="str">
        <x:v>Original non-proprietary WAIS-inspired practice item</x:v>
      </x:c>
      <x:c r="J35" s="59" t="str">
        <x:v>Collect local item-level data</x:v>
      </x:c>
    </x:row>
    <x:row r="36">
      <x:c r="A36" s="58" t="str">
        <x:v>AR-SH-05</x:v>
      </x:c>
      <x:c r="B36" s="44" t="str">
        <x:v>semi_hard</x:v>
      </x:c>
      <x:c r="C36" s="44" t="str">
        <x:v>Semi-Hard</x:v>
      </x:c>
      <x:c r="D36" s="44" t="str">
        <x:v>Compound purchases</x:v>
      </x:c>
      <x:c r="E36" s="44" t="str">
        <x:v>You buy 2 books for 15 dollars each and 3 notebooks for 4 dollars each. If tax adds 3 dollars, what is the total?</x:v>
      </x:c>
      <x:c r="F36" s="44" t="n">
        <x:v>45</x:v>
      </x:c>
      <x:c r="G36" s="51" t="n">
        <x:v>0.58</x:v>
      </x:c>
      <x:c r="H36" s="44" t="n">
        <x:v>24</x:v>
      </x:c>
      <x:c r="I36" s="44" t="str">
        <x:v>Original non-proprietary WAIS-inspired practice item</x:v>
      </x:c>
      <x:c r="J36" s="59" t="str">
        <x:v>Collect local item-level data</x:v>
      </x:c>
    </x:row>
    <x:row r="37">
      <x:c r="A37" s="58" t="str">
        <x:v>AR-SH-06</x:v>
      </x:c>
      <x:c r="B37" s="44" t="str">
        <x:v>semi_hard</x:v>
      </x:c>
      <x:c r="C37" s="44" t="str">
        <x:v>Semi-Hard</x:v>
      </x:c>
      <x:c r="D37" s="44" t="str">
        <x:v>Inverse proportions</x:v>
      </x:c>
      <x:c r="E37" s="44" t="str">
        <x:v>If 4 workers can complete a project in 6 hours, how many hours would it take 2 workers at the same pace?</x:v>
      </x:c>
      <x:c r="F37" s="44" t="n">
        <x:v>12</x:v>
      </x:c>
      <x:c r="G37" s="51" t="n">
        <x:v>0.58</x:v>
      </x:c>
      <x:c r="H37" s="44" t="n">
        <x:v>24</x:v>
      </x:c>
      <x:c r="I37" s="44" t="str">
        <x:v>Original non-proprietary WAIS-inspired practice item</x:v>
      </x:c>
      <x:c r="J37" s="59" t="str">
        <x:v>Collect local item-level data</x:v>
      </x:c>
    </x:row>
    <x:row r="38">
      <x:c r="A38" s="58" t="str">
        <x:v>AR-SH-07</x:v>
      </x:c>
      <x:c r="B38" s="44" t="str">
        <x:v>semi_hard</x:v>
      </x:c>
      <x:c r="C38" s="44" t="str">
        <x:v>Semi-Hard</x:v>
      </x:c>
      <x:c r="D38" s="44" t="str">
        <x:v>Mean averaging target</x:v>
      </x:c>
      <x:c r="E38" s="44" t="str">
        <x:v>A student scores 80, 85, and 95 on three exams. What must they score on the fourth to average exactly 88?</x:v>
      </x:c>
      <x:c r="F38" s="44" t="n">
        <x:v>92</x:v>
      </x:c>
      <x:c r="G38" s="51" t="n">
        <x:v>0.58</x:v>
      </x:c>
      <x:c r="H38" s="44" t="n">
        <x:v>24</x:v>
      </x:c>
      <x:c r="I38" s="44" t="str">
        <x:v>Original non-proprietary WAIS-inspired practice item</x:v>
      </x:c>
      <x:c r="J38" s="59" t="str">
        <x:v>Collect local item-level data</x:v>
      </x:c>
    </x:row>
    <x:row r="39">
      <x:c r="A39" s="58" t="str">
        <x:v>AR-SH-08</x:v>
      </x:c>
      <x:c r="B39" s="44" t="str">
        <x:v>semi_hard</x:v>
      </x:c>
      <x:c r="C39" s="44" t="str">
        <x:v>Semi-Hard</x:v>
      </x:c>
      <x:c r="D39" s="44" t="str">
        <x:v>Successive percentages</x:v>
      </x:c>
      <x:c r="E39" s="44" t="str">
        <x:v>An item costing 100 dollars is discounted by 20 percent, and then the new price is discounted by 10 percent. What is the final price?</x:v>
      </x:c>
      <x:c r="F39" s="44" t="n">
        <x:v>72</x:v>
      </x:c>
      <x:c r="G39" s="51" t="n">
        <x:v>0.58</x:v>
      </x:c>
      <x:c r="H39" s="44" t="n">
        <x:v>24</x:v>
      </x:c>
      <x:c r="I39" s="44" t="str">
        <x:v>Original non-proprietary WAIS-inspired practice item</x:v>
      </x:c>
      <x:c r="J39" s="59" t="str">
        <x:v>Collect local item-level data</x:v>
      </x:c>
    </x:row>
    <x:row r="40">
      <x:c r="A40" s="58" t="str">
        <x:v>AR-SH-09</x:v>
      </x:c>
      <x:c r="B40" s="44" t="str">
        <x:v>semi_hard</x:v>
      </x:c>
      <x:c r="C40" s="44" t="str">
        <x:v>Semi-Hard</x:v>
      </x:c>
      <x:c r="D40" s="44" t="str">
        <x:v>Solution dilution</x:v>
      </x:c>
      <x:c r="E40" s="44" t="str">
        <x:v>A container holds 4 liters of a mixture that is 25 percent acid. If you add 1 liter of pure water, what is the new acid percentage?</x:v>
      </x:c>
      <x:c r="F40" s="44" t="n">
        <x:v>20</x:v>
      </x:c>
      <x:c r="G40" s="51" t="n">
        <x:v>0.58</x:v>
      </x:c>
      <x:c r="H40" s="44" t="n">
        <x:v>24</x:v>
      </x:c>
      <x:c r="I40" s="44" t="str">
        <x:v>Original non-proprietary WAIS-inspired practice item</x:v>
      </x:c>
      <x:c r="J40" s="59" t="str">
        <x:v>Collect local item-level data</x:v>
      </x:c>
    </x:row>
    <x:row r="41">
      <x:c r="A41" s="64" t="str">
        <x:v>AR-SH-10</x:v>
      </x:c>
      <x:c r="B41" s="65" t="str">
        <x:v>semi_hard</x:v>
      </x:c>
      <x:c r="C41" s="65" t="str">
        <x:v>Semi-Hard</x:v>
      </x:c>
      <x:c r="D41" s="65" t="str">
        <x:v>Systems of equations</x:v>
      </x:c>
      <x:c r="E41" s="65" t="str">
        <x:v>John is twice as old as Mary. In 5 years, the sum of their ages will be 31. How old is John right now?</x:v>
      </x:c>
      <x:c r="F41" s="65" t="n">
        <x:v>14</x:v>
      </x:c>
      <x:c r="G41" s="66" t="n">
        <x:v>0.58</x:v>
      </x:c>
      <x:c r="H41" s="65" t="n">
        <x:v>24</x:v>
      </x:c>
      <x:c r="I41" s="65" t="str">
        <x:v>Original non-proprietary WAIS-inspired practice item</x:v>
      </x:c>
      <x:c r="J41" s="68" t="str">
        <x:v>Collect local item-level data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3.130000114440918" hidden="0" customWidth="1"/>
    <x:col min="2" max="2" width="13.130000114440918" hidden="0" customWidth="1"/>
    <x:col min="3" max="3" width="14.380000114440918" hidden="0" customWidth="1"/>
    <x:col min="4" max="4" width="22.5" hidden="0" customWidth="1"/>
    <x:col min="5" max="5" width="14.380000114440918" hidden="0" customWidth="1"/>
    <x:col min="6" max="6" width="15.630000114440918" hidden="0" customWidth="1"/>
    <x:col min="7" max="7" width="11.25" hidden="0" customWidth="1"/>
    <x:col min="8" max="8" width="11.25" hidden="0" customWidth="1"/>
    <x:col min="9" max="9" width="16.25" hidden="0" customWidth="1"/>
    <x:col min="10" max="10" width="16.25" hidden="0" customWidth="1"/>
    <x:col min="11" max="11" width="11.25" hidden="0" customWidth="1"/>
    <x:col min="12" max="12" width="11.25" hidden="0" customWidth="1"/>
  </x:cols>
  <x:sheetData>
    <x:row r="1">
      <x:c r="A1" s="72" t="str">
        <x:v>itemId</x:v>
      </x:c>
      <x:c r="B1" s="73" t="str">
        <x:v>tier</x:v>
      </x:c>
      <x:c r="C1" s="73" t="str">
        <x:v>tierLabel</x:v>
      </x:c>
      <x:c r="D1" s="73" t="str">
        <x:v>concept</x:v>
      </x:c>
      <x:c r="E1" s="73" t="str">
        <x:v>seedAccuracy</x:v>
      </x:c>
      <x:c r="F1" s="73" t="str">
        <x:v>seedMedianSec</x:v>
      </x:c>
      <x:c r="G1" s="73" t="str">
        <x:v>attempts</x:v>
      </x:c>
      <x:c r="H1" s="73" t="str">
        <x:v>correct</x:v>
      </x:c>
      <x:c r="I1" s="73" t="str">
        <x:v>empiricalAccuracy</x:v>
      </x:c>
      <x:c r="J1" s="73" t="str">
        <x:v>avgResponseSec</x:v>
      </x:c>
      <x:c r="K1" s="73" t="str">
        <x:v>timeouts</x:v>
      </x:c>
      <x:c r="L1" s="74" t="str">
        <x:v>repeats</x:v>
      </x:c>
    </x:row>
    <x:row r="2">
      <x:c r="A2" s="58" t="str">
        <x:v>AR-VE-01</x:v>
      </x:c>
      <x:c r="B2" s="44" t="str">
        <x:v>very_easy</x:v>
      </x:c>
      <x:c r="C2" s="44" t="str">
        <x:v>Very Easy</x:v>
      </x:c>
      <x:c r="D2" s="44" t="str">
        <x:v>Simple addition</x:v>
      </x:c>
      <x:c r="E2" s="51" t="n">
        <x:v>0.95</x:v>
      </x:c>
      <x:c r="F2" s="44" t="n">
        <x:v>7</x:v>
      </x:c>
      <x:c r="G2" s="44" t="n">
        <x:f>COUNTIF('Item Responses'!E$2:E$5000,A2)</x:f>
        <x:v>0</x:v>
      </x:c>
      <x:c r="H2" s="44" t="n">
        <x:f>SUMIF('Item Responses'!E$2:E$5000,A2,'Item Responses'!I$2:I$5000)</x:f>
        <x:v>0</x:v>
      </x:c>
      <x:c r="I2" s="51" t="str">
        <x:f>IFERROR(H2/G2,"")</x:f>
      </x:c>
      <x:c r="J2" s="52" t="str">
        <x:f>IFERROR(AVERAGEIF('Item Responses'!E$2:E$5000,A2,'Item Responses'!N$2:N$5000),"")</x:f>
      </x:c>
      <x:c r="K2" s="44" t="n">
        <x:f>COUNTIFS('Item Responses'!E$2:E$5000,A2,'Item Responses'!O$2:O$5000,1)</x:f>
        <x:v>0</x:v>
      </x:c>
      <x:c r="L2" s="59" t="n">
        <x:f>SUMIF('Item Responses'!E$2:E$5000,A2,'Item Responses'!Q$2:Q$5000)</x:f>
        <x:v>0</x:v>
      </x:c>
    </x:row>
    <x:row r="3">
      <x:c r="A3" s="58" t="str">
        <x:v>AR-VE-02</x:v>
      </x:c>
      <x:c r="B3" s="44" t="str">
        <x:v>very_easy</x:v>
      </x:c>
      <x:c r="C3" s="44" t="str">
        <x:v>Very Easy</x:v>
      </x:c>
      <x:c r="D3" s="44" t="str">
        <x:v>Simple subtraction</x:v>
      </x:c>
      <x:c r="E3" s="51" t="n">
        <x:v>0.95</x:v>
      </x:c>
      <x:c r="F3" s="44" t="n">
        <x:v>7</x:v>
      </x:c>
      <x:c r="G3" s="44" t="n">
        <x:f>COUNTIF('Item Responses'!E$2:E$5000,A3)</x:f>
        <x:v>0</x:v>
      </x:c>
      <x:c r="H3" s="44" t="n">
        <x:f>SUMIF('Item Responses'!E$2:E$5000,A3,'Item Responses'!I$2:I$5000)</x:f>
        <x:v>0</x:v>
      </x:c>
      <x:c r="I3" s="51" t="str">
        <x:f>IFERROR(H3/G3,"")</x:f>
      </x:c>
      <x:c r="J3" s="52" t="str">
        <x:f>IFERROR(AVERAGEIF('Item Responses'!E$2:E$5000,A3,'Item Responses'!N$2:N$5000),"")</x:f>
      </x:c>
      <x:c r="K3" s="44" t="n">
        <x:f>COUNTIFS('Item Responses'!E$2:E$5000,A3,'Item Responses'!O$2:O$5000,1)</x:f>
        <x:v>0</x:v>
      </x:c>
      <x:c r="L3" s="59" t="n">
        <x:f>SUMIF('Item Responses'!E$2:E$5000,A3,'Item Responses'!Q$2:Q$5000)</x:f>
        <x:v>0</x:v>
      </x:c>
    </x:row>
    <x:row r="4">
      <x:c r="A4" s="58" t="str">
        <x:v>AR-VE-03</x:v>
      </x:c>
      <x:c r="B4" s="44" t="str">
        <x:v>very_easy</x:v>
      </x:c>
      <x:c r="C4" s="44" t="str">
        <x:v>Very Easy</x:v>
      </x:c>
      <x:c r="D4" s="44" t="str">
        <x:v>Simple addition</x:v>
      </x:c>
      <x:c r="E4" s="51" t="n">
        <x:v>0.95</x:v>
      </x:c>
      <x:c r="F4" s="44" t="n">
        <x:v>7</x:v>
      </x:c>
      <x:c r="G4" s="44" t="n">
        <x:f>COUNTIF('Item Responses'!E$2:E$5000,A4)</x:f>
        <x:v>0</x:v>
      </x:c>
      <x:c r="H4" s="44" t="n">
        <x:f>SUMIF('Item Responses'!E$2:E$5000,A4,'Item Responses'!I$2:I$5000)</x:f>
        <x:v>0</x:v>
      </x:c>
      <x:c r="I4" s="51" t="str">
        <x:f>IFERROR(H4/G4,"")</x:f>
      </x:c>
      <x:c r="J4" s="52" t="str">
        <x:f>IFERROR(AVERAGEIF('Item Responses'!E$2:E$5000,A4,'Item Responses'!N$2:N$5000),"")</x:f>
      </x:c>
      <x:c r="K4" s="44" t="n">
        <x:f>COUNTIFS('Item Responses'!E$2:E$5000,A4,'Item Responses'!O$2:O$5000,1)</x:f>
        <x:v>0</x:v>
      </x:c>
      <x:c r="L4" s="59" t="n">
        <x:f>SUMIF('Item Responses'!E$2:E$5000,A4,'Item Responses'!Q$2:Q$5000)</x:f>
        <x:v>0</x:v>
      </x:c>
    </x:row>
    <x:row r="5">
      <x:c r="A5" s="58" t="str">
        <x:v>AR-VE-04</x:v>
      </x:c>
      <x:c r="B5" s="44" t="str">
        <x:v>very_easy</x:v>
      </x:c>
      <x:c r="C5" s="44" t="str">
        <x:v>Very Easy</x:v>
      </x:c>
      <x:c r="D5" s="44" t="str">
        <x:v>Simple multiplication</x:v>
      </x:c>
      <x:c r="E5" s="51" t="n">
        <x:v>0.95</x:v>
      </x:c>
      <x:c r="F5" s="44" t="n">
        <x:v>7</x:v>
      </x:c>
      <x:c r="G5" s="44" t="n">
        <x:f>COUNTIF('Item Responses'!E$2:E$5000,A5)</x:f>
        <x:v>0</x:v>
      </x:c>
      <x:c r="H5" s="44" t="n">
        <x:f>SUMIF('Item Responses'!E$2:E$5000,A5,'Item Responses'!I$2:I$5000)</x:f>
        <x:v>0</x:v>
      </x:c>
      <x:c r="I5" s="51" t="str">
        <x:f>IFERROR(H5/G5,"")</x:f>
      </x:c>
      <x:c r="J5" s="52" t="str">
        <x:f>IFERROR(AVERAGEIF('Item Responses'!E$2:E$5000,A5,'Item Responses'!N$2:N$5000),"")</x:f>
      </x:c>
      <x:c r="K5" s="44" t="n">
        <x:f>COUNTIFS('Item Responses'!E$2:E$5000,A5,'Item Responses'!O$2:O$5000,1)</x:f>
        <x:v>0</x:v>
      </x:c>
      <x:c r="L5" s="59" t="n">
        <x:f>SUMIF('Item Responses'!E$2:E$5000,A5,'Item Responses'!Q$2:Q$5000)</x:f>
        <x:v>0</x:v>
      </x:c>
    </x:row>
    <x:row r="6">
      <x:c r="A6" s="58" t="str">
        <x:v>AR-VE-05</x:v>
      </x:c>
      <x:c r="B6" s="44" t="str">
        <x:v>very_easy</x:v>
      </x:c>
      <x:c r="C6" s="44" t="str">
        <x:v>Very Easy</x:v>
      </x:c>
      <x:c r="D6" s="44" t="str">
        <x:v>Simple subtraction</x:v>
      </x:c>
      <x:c r="E6" s="51" t="n">
        <x:v>0.95</x:v>
      </x:c>
      <x:c r="F6" s="44" t="n">
        <x:v>7</x:v>
      </x:c>
      <x:c r="G6" s="44" t="n">
        <x:f>COUNTIF('Item Responses'!E$2:E$5000,A6)</x:f>
        <x:v>0</x:v>
      </x:c>
      <x:c r="H6" s="44" t="n">
        <x:f>SUMIF('Item Responses'!E$2:E$5000,A6,'Item Responses'!I$2:I$5000)</x:f>
        <x:v>0</x:v>
      </x:c>
      <x:c r="I6" s="51" t="str">
        <x:f>IFERROR(H6/G6,"")</x:f>
      </x:c>
      <x:c r="J6" s="52" t="str">
        <x:f>IFERROR(AVERAGEIF('Item Responses'!E$2:E$5000,A6,'Item Responses'!N$2:N$5000),"")</x:f>
      </x:c>
      <x:c r="K6" s="44" t="n">
        <x:f>COUNTIFS('Item Responses'!E$2:E$5000,A6,'Item Responses'!O$2:O$5000,1)</x:f>
        <x:v>0</x:v>
      </x:c>
      <x:c r="L6" s="59" t="n">
        <x:f>SUMIF('Item Responses'!E$2:E$5000,A6,'Item Responses'!Q$2:Q$5000)</x:f>
        <x:v>0</x:v>
      </x:c>
    </x:row>
    <x:row r="7">
      <x:c r="A7" s="58" t="str">
        <x:v>AR-VE-06</x:v>
      </x:c>
      <x:c r="B7" s="44" t="str">
        <x:v>very_easy</x:v>
      </x:c>
      <x:c r="C7" s="44" t="str">
        <x:v>Very Easy</x:v>
      </x:c>
      <x:c r="D7" s="44" t="str">
        <x:v>Simple subtraction</x:v>
      </x:c>
      <x:c r="E7" s="51" t="n">
        <x:v>0.95</x:v>
      </x:c>
      <x:c r="F7" s="44" t="n">
        <x:v>7</x:v>
      </x:c>
      <x:c r="G7" s="44" t="n">
        <x:f>COUNTIF('Item Responses'!E$2:E$5000,A7)</x:f>
        <x:v>0</x:v>
      </x:c>
      <x:c r="H7" s="44" t="n">
        <x:f>SUMIF('Item Responses'!E$2:E$5000,A7,'Item Responses'!I$2:I$5000)</x:f>
        <x:v>0</x:v>
      </x:c>
      <x:c r="I7" s="51" t="str">
        <x:f>IFERROR(H7/G7,"")</x:f>
      </x:c>
      <x:c r="J7" s="52" t="str">
        <x:f>IFERROR(AVERAGEIF('Item Responses'!E$2:E$5000,A7,'Item Responses'!N$2:N$5000),"")</x:f>
      </x:c>
      <x:c r="K7" s="44" t="n">
        <x:f>COUNTIFS('Item Responses'!E$2:E$5000,A7,'Item Responses'!O$2:O$5000,1)</x:f>
        <x:v>0</x:v>
      </x:c>
      <x:c r="L7" s="59" t="n">
        <x:f>SUMIF('Item Responses'!E$2:E$5000,A7,'Item Responses'!Q$2:Q$5000)</x:f>
        <x:v>0</x:v>
      </x:c>
    </x:row>
    <x:row r="8">
      <x:c r="A8" s="58" t="str">
        <x:v>AR-VE-07</x:v>
      </x:c>
      <x:c r="B8" s="44" t="str">
        <x:v>very_easy</x:v>
      </x:c>
      <x:c r="C8" s="44" t="str">
        <x:v>Very Easy</x:v>
      </x:c>
      <x:c r="D8" s="44" t="str">
        <x:v>Linear scaling</x:v>
      </x:c>
      <x:c r="E8" s="51" t="n">
        <x:v>0.95</x:v>
      </x:c>
      <x:c r="F8" s="44" t="n">
        <x:v>7</x:v>
      </x:c>
      <x:c r="G8" s="44" t="n">
        <x:f>COUNTIF('Item Responses'!E$2:E$5000,A8)</x:f>
        <x:v>0</x:v>
      </x:c>
      <x:c r="H8" s="44" t="n">
        <x:f>SUMIF('Item Responses'!E$2:E$5000,A8,'Item Responses'!I$2:I$5000)</x:f>
        <x:v>0</x:v>
      </x:c>
      <x:c r="I8" s="51" t="str">
        <x:f>IFERROR(H8/G8,"")</x:f>
      </x:c>
      <x:c r="J8" s="52" t="str">
        <x:f>IFERROR(AVERAGEIF('Item Responses'!E$2:E$5000,A8,'Item Responses'!N$2:N$5000),"")</x:f>
      </x:c>
      <x:c r="K8" s="44" t="n">
        <x:f>COUNTIFS('Item Responses'!E$2:E$5000,A8,'Item Responses'!O$2:O$5000,1)</x:f>
        <x:v>0</x:v>
      </x:c>
      <x:c r="L8" s="59" t="n">
        <x:f>SUMIF('Item Responses'!E$2:E$5000,A8,'Item Responses'!Q$2:Q$5000)</x:f>
        <x:v>0</x:v>
      </x:c>
    </x:row>
    <x:row r="9">
      <x:c r="A9" s="58" t="str">
        <x:v>AR-VE-08</x:v>
      </x:c>
      <x:c r="B9" s="44" t="str">
        <x:v>very_easy</x:v>
      </x:c>
      <x:c r="C9" s="44" t="str">
        <x:v>Very Easy</x:v>
      </x:c>
      <x:c r="D9" s="44" t="str">
        <x:v>Simple subtraction</x:v>
      </x:c>
      <x:c r="E9" s="51" t="n">
        <x:v>0.95</x:v>
      </x:c>
      <x:c r="F9" s="44" t="n">
        <x:v>7</x:v>
      </x:c>
      <x:c r="G9" s="44" t="n">
        <x:f>COUNTIF('Item Responses'!E$2:E$5000,A9)</x:f>
        <x:v>0</x:v>
      </x:c>
      <x:c r="H9" s="44" t="n">
        <x:f>SUMIF('Item Responses'!E$2:E$5000,A9,'Item Responses'!I$2:I$5000)</x:f>
        <x:v>0</x:v>
      </x:c>
      <x:c r="I9" s="51" t="str">
        <x:f>IFERROR(H9/G9,"")</x:f>
      </x:c>
      <x:c r="J9" s="52" t="str">
        <x:f>IFERROR(AVERAGEIF('Item Responses'!E$2:E$5000,A9,'Item Responses'!N$2:N$5000),"")</x:f>
      </x:c>
      <x:c r="K9" s="44" t="n">
        <x:f>COUNTIFS('Item Responses'!E$2:E$5000,A9,'Item Responses'!O$2:O$5000,1)</x:f>
        <x:v>0</x:v>
      </x:c>
      <x:c r="L9" s="59" t="n">
        <x:f>SUMIF('Item Responses'!E$2:E$5000,A9,'Item Responses'!Q$2:Q$5000)</x:f>
        <x:v>0</x:v>
      </x:c>
    </x:row>
    <x:row r="10">
      <x:c r="A10" s="58" t="str">
        <x:v>AR-VE-09</x:v>
      </x:c>
      <x:c r="B10" s="44" t="str">
        <x:v>very_easy</x:v>
      </x:c>
      <x:c r="C10" s="44" t="str">
        <x:v>Very Easy</x:v>
      </x:c>
      <x:c r="D10" s="44" t="str">
        <x:v>Currency subtraction</x:v>
      </x:c>
      <x:c r="E10" s="51" t="n">
        <x:v>0.95</x:v>
      </x:c>
      <x:c r="F10" s="44" t="n">
        <x:v>7</x:v>
      </x:c>
      <x:c r="G10" s="44" t="n">
        <x:f>COUNTIF('Item Responses'!E$2:E$5000,A10)</x:f>
        <x:v>0</x:v>
      </x:c>
      <x:c r="H10" s="44" t="n">
        <x:f>SUMIF('Item Responses'!E$2:E$5000,A10,'Item Responses'!I$2:I$5000)</x:f>
        <x:v>0</x:v>
      </x:c>
      <x:c r="I10" s="51" t="str">
        <x:f>IFERROR(H10/G10,"")</x:f>
      </x:c>
      <x:c r="J10" s="52" t="str">
        <x:f>IFERROR(AVERAGEIF('Item Responses'!E$2:E$5000,A10,'Item Responses'!N$2:N$5000),"")</x:f>
      </x:c>
      <x:c r="K10" s="44" t="n">
        <x:f>COUNTIFS('Item Responses'!E$2:E$5000,A10,'Item Responses'!O$2:O$5000,1)</x:f>
        <x:v>0</x:v>
      </x:c>
      <x:c r="L10" s="59" t="n">
        <x:f>SUMIF('Item Responses'!E$2:E$5000,A10,'Item Responses'!Q$2:Q$5000)</x:f>
        <x:v>0</x:v>
      </x:c>
    </x:row>
    <x:row r="11">
      <x:c r="A11" s="58" t="str">
        <x:v>AR-VE-10</x:v>
      </x:c>
      <x:c r="B11" s="44" t="str">
        <x:v>very_easy</x:v>
      </x:c>
      <x:c r="C11" s="44" t="str">
        <x:v>Very Easy</x:v>
      </x:c>
      <x:c r="D11" s="44" t="str">
        <x:v>Tracking quantities</x:v>
      </x:c>
      <x:c r="E11" s="51" t="n">
        <x:v>0.95</x:v>
      </x:c>
      <x:c r="F11" s="44" t="n">
        <x:v>7</x:v>
      </x:c>
      <x:c r="G11" s="44" t="n">
        <x:f>COUNTIF('Item Responses'!E$2:E$5000,A11)</x:f>
        <x:v>0</x:v>
      </x:c>
      <x:c r="H11" s="44" t="n">
        <x:f>SUMIF('Item Responses'!E$2:E$5000,A11,'Item Responses'!I$2:I$5000)</x:f>
        <x:v>0</x:v>
      </x:c>
      <x:c r="I11" s="51" t="str">
        <x:f>IFERROR(H11/G11,"")</x:f>
      </x:c>
      <x:c r="J11" s="52" t="str">
        <x:f>IFERROR(AVERAGEIF('Item Responses'!E$2:E$5000,A11,'Item Responses'!N$2:N$5000),"")</x:f>
      </x:c>
      <x:c r="K11" s="44" t="n">
        <x:f>COUNTIFS('Item Responses'!E$2:E$5000,A11,'Item Responses'!O$2:O$5000,1)</x:f>
        <x:v>0</x:v>
      </x:c>
      <x:c r="L11" s="59" t="n">
        <x:f>SUMIF('Item Responses'!E$2:E$5000,A11,'Item Responses'!Q$2:Q$5000)</x:f>
        <x:v>0</x:v>
      </x:c>
    </x:row>
    <x:row r="12">
      <x:c r="A12" s="58" t="str">
        <x:v>AR-E-01</x:v>
      </x:c>
      <x:c r="B12" s="44" t="str">
        <x:v>easy</x:v>
      </x:c>
      <x:c r="C12" s="44" t="str">
        <x:v>Easy</x:v>
      </x:c>
      <x:c r="D12" s="44" t="str">
        <x:v>Order of operations</x:v>
      </x:c>
      <x:c r="E12" s="51" t="n">
        <x:v>0.86</x:v>
      </x:c>
      <x:c r="F12" s="44" t="n">
        <x:v>11</x:v>
      </x:c>
      <x:c r="G12" s="44" t="n">
        <x:f>COUNTIF('Item Responses'!E$2:E$5000,A12)</x:f>
        <x:v>0</x:v>
      </x:c>
      <x:c r="H12" s="44" t="n">
        <x:f>SUMIF('Item Responses'!E$2:E$5000,A12,'Item Responses'!I$2:I$5000)</x:f>
        <x:v>0</x:v>
      </x:c>
      <x:c r="I12" s="51" t="str">
        <x:f>IFERROR(H12/G12,"")</x:f>
      </x:c>
      <x:c r="J12" s="52" t="str">
        <x:f>IFERROR(AVERAGEIF('Item Responses'!E$2:E$5000,A12,'Item Responses'!N$2:N$5000),"")</x:f>
      </x:c>
      <x:c r="K12" s="44" t="n">
        <x:f>COUNTIFS('Item Responses'!E$2:E$5000,A12,'Item Responses'!O$2:O$5000,1)</x:f>
        <x:v>0</x:v>
      </x:c>
      <x:c r="L12" s="59" t="n">
        <x:f>SUMIF('Item Responses'!E$2:E$5000,A12,'Item Responses'!Q$2:Q$5000)</x:f>
        <x:v>0</x:v>
      </x:c>
    </x:row>
    <x:row r="13">
      <x:c r="A13" s="58" t="str">
        <x:v>AR-E-02</x:v>
      </x:c>
      <x:c r="B13" s="44" t="str">
        <x:v>easy</x:v>
      </x:c>
      <x:c r="C13" s="44" t="str">
        <x:v>Easy</x:v>
      </x:c>
      <x:c r="D13" s="44" t="str">
        <x:v>Rate and distance</x:v>
      </x:c>
      <x:c r="E13" s="51" t="n">
        <x:v>0.86</x:v>
      </x:c>
      <x:c r="F13" s="44" t="n">
        <x:v>11</x:v>
      </x:c>
      <x:c r="G13" s="44" t="n">
        <x:f>COUNTIF('Item Responses'!E$2:E$5000,A13)</x:f>
        <x:v>0</x:v>
      </x:c>
      <x:c r="H13" s="44" t="n">
        <x:f>SUMIF('Item Responses'!E$2:E$5000,A13,'Item Responses'!I$2:I$5000)</x:f>
        <x:v>0</x:v>
      </x:c>
      <x:c r="I13" s="51" t="str">
        <x:f>IFERROR(H13/G13,"")</x:f>
      </x:c>
      <x:c r="J13" s="52" t="str">
        <x:f>IFERROR(AVERAGEIF('Item Responses'!E$2:E$5000,A13,'Item Responses'!N$2:N$5000),"")</x:f>
      </x:c>
      <x:c r="K13" s="44" t="n">
        <x:f>COUNTIFS('Item Responses'!E$2:E$5000,A13,'Item Responses'!O$2:O$5000,1)</x:f>
        <x:v>0</x:v>
      </x:c>
      <x:c r="L13" s="59" t="n">
        <x:f>SUMIF('Item Responses'!E$2:E$5000,A13,'Item Responses'!Q$2:Q$5000)</x:f>
        <x:v>0</x:v>
      </x:c>
    </x:row>
    <x:row r="14">
      <x:c r="A14" s="58" t="str">
        <x:v>AR-E-03</x:v>
      </x:c>
      <x:c r="B14" s="44" t="str">
        <x:v>easy</x:v>
      </x:c>
      <x:c r="C14" s="44" t="str">
        <x:v>Easy</x:v>
      </x:c>
      <x:c r="D14" s="44" t="str">
        <x:v>Simple division</x:v>
      </x:c>
      <x:c r="E14" s="51" t="n">
        <x:v>0.86</x:v>
      </x:c>
      <x:c r="F14" s="44" t="n">
        <x:v>11</x:v>
      </x:c>
      <x:c r="G14" s="44" t="n">
        <x:f>COUNTIF('Item Responses'!E$2:E$5000,A14)</x:f>
        <x:v>0</x:v>
      </x:c>
      <x:c r="H14" s="44" t="n">
        <x:f>SUMIF('Item Responses'!E$2:E$5000,A14,'Item Responses'!I$2:I$5000)</x:f>
        <x:v>0</x:v>
      </x:c>
      <x:c r="I14" s="51" t="str">
        <x:f>IFERROR(H14/G14,"")</x:f>
      </x:c>
      <x:c r="J14" s="52" t="str">
        <x:f>IFERROR(AVERAGEIF('Item Responses'!E$2:E$5000,A14,'Item Responses'!N$2:N$5000),"")</x:f>
      </x:c>
      <x:c r="K14" s="44" t="n">
        <x:f>COUNTIFS('Item Responses'!E$2:E$5000,A14,'Item Responses'!O$2:O$5000,1)</x:f>
        <x:v>0</x:v>
      </x:c>
      <x:c r="L14" s="59" t="n">
        <x:f>SUMIF('Item Responses'!E$2:E$5000,A14,'Item Responses'!Q$2:Q$5000)</x:f>
        <x:v>0</x:v>
      </x:c>
    </x:row>
    <x:row r="15">
      <x:c r="A15" s="58" t="str">
        <x:v>AR-E-04</x:v>
      </x:c>
      <x:c r="B15" s="44" t="str">
        <x:v>easy</x:v>
      </x:c>
      <x:c r="C15" s="44" t="str">
        <x:v>Easy</x:v>
      </x:c>
      <x:c r="D15" s="44" t="str">
        <x:v>Basic fractions</x:v>
      </x:c>
      <x:c r="E15" s="51" t="n">
        <x:v>0.86</x:v>
      </x:c>
      <x:c r="F15" s="44" t="n">
        <x:v>11</x:v>
      </x:c>
      <x:c r="G15" s="44" t="n">
        <x:f>COUNTIF('Item Responses'!E$2:E$5000,A15)</x:f>
        <x:v>0</x:v>
      </x:c>
      <x:c r="H15" s="44" t="n">
        <x:f>SUMIF('Item Responses'!E$2:E$5000,A15,'Item Responses'!I$2:I$5000)</x:f>
        <x:v>0</x:v>
      </x:c>
      <x:c r="I15" s="51" t="str">
        <x:f>IFERROR(H15/G15,"")</x:f>
      </x:c>
      <x:c r="J15" s="52" t="str">
        <x:f>IFERROR(AVERAGEIF('Item Responses'!E$2:E$5000,A15,'Item Responses'!N$2:N$5000),"")</x:f>
      </x:c>
      <x:c r="K15" s="44" t="n">
        <x:f>COUNTIFS('Item Responses'!E$2:E$5000,A15,'Item Responses'!O$2:O$5000,1)</x:f>
        <x:v>0</x:v>
      </x:c>
      <x:c r="L15" s="59" t="n">
        <x:f>SUMIF('Item Responses'!E$2:E$5000,A15,'Item Responses'!Q$2:Q$5000)</x:f>
        <x:v>0</x:v>
      </x:c>
    </x:row>
    <x:row r="16">
      <x:c r="A16" s="58" t="str">
        <x:v>AR-E-05</x:v>
      </x:c>
      <x:c r="B16" s="44" t="str">
        <x:v>easy</x:v>
      </x:c>
      <x:c r="C16" s="44" t="str">
        <x:v>Easy</x:v>
      </x:c>
      <x:c r="D16" s="44" t="str">
        <x:v>Multi-step tracking</x:v>
      </x:c>
      <x:c r="E16" s="51" t="n">
        <x:v>0.86</x:v>
      </x:c>
      <x:c r="F16" s="44" t="n">
        <x:v>11</x:v>
      </x:c>
      <x:c r="G16" s="44" t="n">
        <x:f>COUNTIF('Item Responses'!E$2:E$5000,A16)</x:f>
        <x:v>0</x:v>
      </x:c>
      <x:c r="H16" s="44" t="n">
        <x:f>SUMIF('Item Responses'!E$2:E$5000,A16,'Item Responses'!I$2:I$5000)</x:f>
        <x:v>0</x:v>
      </x:c>
      <x:c r="I16" s="51" t="str">
        <x:f>IFERROR(H16/G16,"")</x:f>
      </x:c>
      <x:c r="J16" s="52" t="str">
        <x:f>IFERROR(AVERAGEIF('Item Responses'!E$2:E$5000,A16,'Item Responses'!N$2:N$5000),"")</x:f>
      </x:c>
      <x:c r="K16" s="44" t="n">
        <x:f>COUNTIFS('Item Responses'!E$2:E$5000,A16,'Item Responses'!O$2:O$5000,1)</x:f>
        <x:v>0</x:v>
      </x:c>
      <x:c r="L16" s="59" t="n">
        <x:f>SUMIF('Item Responses'!E$2:E$5000,A16,'Item Responses'!Q$2:Q$5000)</x:f>
        <x:v>0</x:v>
      </x:c>
    </x:row>
    <x:row r="17">
      <x:c r="A17" s="58" t="str">
        <x:v>AR-E-06</x:v>
      </x:c>
      <x:c r="B17" s="44" t="str">
        <x:v>easy</x:v>
      </x:c>
      <x:c r="C17" s="44" t="str">
        <x:v>Easy</x:v>
      </x:c>
      <x:c r="D17" s="44" t="str">
        <x:v>Change making</x:v>
      </x:c>
      <x:c r="E17" s="51" t="n">
        <x:v>0.86</x:v>
      </x:c>
      <x:c r="F17" s="44" t="n">
        <x:v>11</x:v>
      </x:c>
      <x:c r="G17" s="44" t="n">
        <x:f>COUNTIF('Item Responses'!E$2:E$5000,A17)</x:f>
        <x:v>0</x:v>
      </x:c>
      <x:c r="H17" s="44" t="n">
        <x:f>SUMIF('Item Responses'!E$2:E$5000,A17,'Item Responses'!I$2:I$5000)</x:f>
        <x:v>0</x:v>
      </x:c>
      <x:c r="I17" s="51" t="str">
        <x:f>IFERROR(H17/G17,"")</x:f>
      </x:c>
      <x:c r="J17" s="52" t="str">
        <x:f>IFERROR(AVERAGEIF('Item Responses'!E$2:E$5000,A17,'Item Responses'!N$2:N$5000),"")</x:f>
      </x:c>
      <x:c r="K17" s="44" t="n">
        <x:f>COUNTIFS('Item Responses'!E$2:E$5000,A17,'Item Responses'!O$2:O$5000,1)</x:f>
        <x:v>0</x:v>
      </x:c>
      <x:c r="L17" s="59" t="n">
        <x:f>SUMIF('Item Responses'!E$2:E$5000,A17,'Item Responses'!Q$2:Q$5000)</x:f>
        <x:v>0</x:v>
      </x:c>
    </x:row>
    <x:row r="18">
      <x:c r="A18" s="58" t="str">
        <x:v>AR-E-07</x:v>
      </x:c>
      <x:c r="B18" s="44" t="str">
        <x:v>easy</x:v>
      </x:c>
      <x:c r="C18" s="44" t="str">
        <x:v>Easy</x:v>
      </x:c>
      <x:c r="D18" s="44" t="str">
        <x:v>Double-digit product</x:v>
      </x:c>
      <x:c r="E18" s="51" t="n">
        <x:v>0.86</x:v>
      </x:c>
      <x:c r="F18" s="44" t="n">
        <x:v>11</x:v>
      </x:c>
      <x:c r="G18" s="44" t="n">
        <x:f>COUNTIF('Item Responses'!E$2:E$5000,A18)</x:f>
        <x:v>0</x:v>
      </x:c>
      <x:c r="H18" s="44" t="n">
        <x:f>SUMIF('Item Responses'!E$2:E$5000,A18,'Item Responses'!I$2:I$5000)</x:f>
        <x:v>0</x:v>
      </x:c>
      <x:c r="I18" s="51" t="str">
        <x:f>IFERROR(H18/G18,"")</x:f>
      </x:c>
      <x:c r="J18" s="52" t="str">
        <x:f>IFERROR(AVERAGEIF('Item Responses'!E$2:E$5000,A18,'Item Responses'!N$2:N$5000),"")</x:f>
      </x:c>
      <x:c r="K18" s="44" t="n">
        <x:f>COUNTIFS('Item Responses'!E$2:E$5000,A18,'Item Responses'!O$2:O$5000,1)</x:f>
        <x:v>0</x:v>
      </x:c>
      <x:c r="L18" s="59" t="n">
        <x:f>SUMIF('Item Responses'!E$2:E$5000,A18,'Item Responses'!Q$2:Q$5000)</x:f>
        <x:v>0</x:v>
      </x:c>
    </x:row>
    <x:row r="19">
      <x:c r="A19" s="58" t="str">
        <x:v>AR-E-08</x:v>
      </x:c>
      <x:c r="B19" s="44" t="str">
        <x:v>easy</x:v>
      </x:c>
      <x:c r="C19" s="44" t="str">
        <x:v>Easy</x:v>
      </x:c>
      <x:c r="D19" s="44" t="str">
        <x:v>Unit pricing</x:v>
      </x:c>
      <x:c r="E19" s="51" t="n">
        <x:v>0.86</x:v>
      </x:c>
      <x:c r="F19" s="44" t="n">
        <x:v>11</x:v>
      </x:c>
      <x:c r="G19" s="44" t="n">
        <x:f>COUNTIF('Item Responses'!E$2:E$5000,A19)</x:f>
        <x:v>0</x:v>
      </x:c>
      <x:c r="H19" s="44" t="n">
        <x:f>SUMIF('Item Responses'!E$2:E$5000,A19,'Item Responses'!I$2:I$5000)</x:f>
        <x:v>0</x:v>
      </x:c>
      <x:c r="I19" s="51" t="str">
        <x:f>IFERROR(H19/G19,"")</x:f>
      </x:c>
      <x:c r="J19" s="52" t="str">
        <x:f>IFERROR(AVERAGEIF('Item Responses'!E$2:E$5000,A19,'Item Responses'!N$2:N$5000),"")</x:f>
      </x:c>
      <x:c r="K19" s="44" t="n">
        <x:f>COUNTIFS('Item Responses'!E$2:E$5000,A19,'Item Responses'!O$2:O$5000,1)</x:f>
        <x:v>0</x:v>
      </x:c>
      <x:c r="L19" s="59" t="n">
        <x:f>SUMIF('Item Responses'!E$2:E$5000,A19,'Item Responses'!Q$2:Q$5000)</x:f>
        <x:v>0</x:v>
      </x:c>
    </x:row>
    <x:row r="20">
      <x:c r="A20" s="58" t="str">
        <x:v>AR-E-09</x:v>
      </x:c>
      <x:c r="B20" s="44" t="str">
        <x:v>easy</x:v>
      </x:c>
      <x:c r="C20" s="44" t="str">
        <x:v>Easy</x:v>
      </x:c>
      <x:c r="D20" s="44" t="str">
        <x:v>Sequential tracking</x:v>
      </x:c>
      <x:c r="E20" s="51" t="n">
        <x:v>0.86</x:v>
      </x:c>
      <x:c r="F20" s="44" t="n">
        <x:v>11</x:v>
      </x:c>
      <x:c r="G20" s="44" t="n">
        <x:f>COUNTIF('Item Responses'!E$2:E$5000,A20)</x:f>
        <x:v>0</x:v>
      </x:c>
      <x:c r="H20" s="44" t="n">
        <x:f>SUMIF('Item Responses'!E$2:E$5000,A20,'Item Responses'!I$2:I$5000)</x:f>
        <x:v>0</x:v>
      </x:c>
      <x:c r="I20" s="51" t="str">
        <x:f>IFERROR(H20/G20,"")</x:f>
      </x:c>
      <x:c r="J20" s="52" t="str">
        <x:f>IFERROR(AVERAGEIF('Item Responses'!E$2:E$5000,A20,'Item Responses'!N$2:N$5000),"")</x:f>
      </x:c>
      <x:c r="K20" s="44" t="n">
        <x:f>COUNTIFS('Item Responses'!E$2:E$5000,A20,'Item Responses'!O$2:O$5000,1)</x:f>
        <x:v>0</x:v>
      </x:c>
      <x:c r="L20" s="59" t="n">
        <x:f>SUMIF('Item Responses'!E$2:E$5000,A20,'Item Responses'!Q$2:Q$5000)</x:f>
        <x:v>0</x:v>
      </x:c>
    </x:row>
    <x:row r="21">
      <x:c r="A21" s="58" t="str">
        <x:v>AR-E-10</x:v>
      </x:c>
      <x:c r="B21" s="44" t="str">
        <x:v>easy</x:v>
      </x:c>
      <x:c r="C21" s="44" t="str">
        <x:v>Easy</x:v>
      </x:c>
      <x:c r="D21" s="44" t="str">
        <x:v>Three-value summation</x:v>
      </x:c>
      <x:c r="E21" s="51" t="n">
        <x:v>0.86</x:v>
      </x:c>
      <x:c r="F21" s="44" t="n">
        <x:v>11</x:v>
      </x:c>
      <x:c r="G21" s="44" t="n">
        <x:f>COUNTIF('Item Responses'!E$2:E$5000,A21)</x:f>
        <x:v>0</x:v>
      </x:c>
      <x:c r="H21" s="44" t="n">
        <x:f>SUMIF('Item Responses'!E$2:E$5000,A21,'Item Responses'!I$2:I$5000)</x:f>
        <x:v>0</x:v>
      </x:c>
      <x:c r="I21" s="51" t="str">
        <x:f>IFERROR(H21/G21,"")</x:f>
      </x:c>
      <x:c r="J21" s="52" t="str">
        <x:f>IFERROR(AVERAGEIF('Item Responses'!E$2:E$5000,A21,'Item Responses'!N$2:N$5000),"")</x:f>
      </x:c>
      <x:c r="K21" s="44" t="n">
        <x:f>COUNTIFS('Item Responses'!E$2:E$5000,A21,'Item Responses'!O$2:O$5000,1)</x:f>
        <x:v>0</x:v>
      </x:c>
      <x:c r="L21" s="59" t="n">
        <x:f>SUMIF('Item Responses'!E$2:E$5000,A21,'Item Responses'!Q$2:Q$5000)</x:f>
        <x:v>0</x:v>
      </x:c>
    </x:row>
    <x:row r="22">
      <x:c r="A22" s="58" t="str">
        <x:v>AR-M-01</x:v>
      </x:c>
      <x:c r="B22" s="44" t="str">
        <x:v>medium</x:v>
      </x:c>
      <x:c r="C22" s="44" t="str">
        <x:v>Medium</x:v>
      </x:c>
      <x:c r="D22" s="44" t="str">
        <x:v>Percentage discount</x:v>
      </x:c>
      <x:c r="E22" s="51" t="n">
        <x:v>0.72</x:v>
      </x:c>
      <x:c r="F22" s="44" t="n">
        <x:v>17</x:v>
      </x:c>
      <x:c r="G22" s="44" t="n">
        <x:f>COUNTIF('Item Responses'!E$2:E$5000,A22)</x:f>
        <x:v>0</x:v>
      </x:c>
      <x:c r="H22" s="44" t="n">
        <x:f>SUMIF('Item Responses'!E$2:E$5000,A22,'Item Responses'!I$2:I$5000)</x:f>
        <x:v>0</x:v>
      </x:c>
      <x:c r="I22" s="51" t="str">
        <x:f>IFERROR(H22/G22,"")</x:f>
      </x:c>
      <x:c r="J22" s="52" t="str">
        <x:f>IFERROR(AVERAGEIF('Item Responses'!E$2:E$5000,A22,'Item Responses'!N$2:N$5000),"")</x:f>
      </x:c>
      <x:c r="K22" s="44" t="n">
        <x:f>COUNTIFS('Item Responses'!E$2:E$5000,A22,'Item Responses'!O$2:O$5000,1)</x:f>
        <x:v>0</x:v>
      </x:c>
      <x:c r="L22" s="59" t="n">
        <x:f>SUMIF('Item Responses'!E$2:E$5000,A22,'Item Responses'!Q$2:Q$5000)</x:f>
        <x:v>0</x:v>
      </x:c>
    </x:row>
    <x:row r="23">
      <x:c r="A23" s="58" t="str">
        <x:v>AR-M-02</x:v>
      </x:c>
      <x:c r="B23" s="44" t="str">
        <x:v>medium</x:v>
      </x:c>
      <x:c r="C23" s="44" t="str">
        <x:v>Medium</x:v>
      </x:c>
      <x:c r="D23" s="44" t="str">
        <x:v>Earnings minus expense</x:v>
      </x:c>
      <x:c r="E23" s="51" t="n">
        <x:v>0.72</x:v>
      </x:c>
      <x:c r="F23" s="44" t="n">
        <x:v>17</x:v>
      </x:c>
      <x:c r="G23" s="44" t="n">
        <x:f>COUNTIF('Item Responses'!E$2:E$5000,A23)</x:f>
        <x:v>0</x:v>
      </x:c>
      <x:c r="H23" s="44" t="n">
        <x:f>SUMIF('Item Responses'!E$2:E$5000,A23,'Item Responses'!I$2:I$5000)</x:f>
        <x:v>0</x:v>
      </x:c>
      <x:c r="I23" s="51" t="str">
        <x:f>IFERROR(H23/G23,"")</x:f>
      </x:c>
      <x:c r="J23" s="52" t="str">
        <x:f>IFERROR(AVERAGEIF('Item Responses'!E$2:E$5000,A23,'Item Responses'!N$2:N$5000),"")</x:f>
      </x:c>
      <x:c r="K23" s="44" t="n">
        <x:f>COUNTIFS('Item Responses'!E$2:E$5000,A23,'Item Responses'!O$2:O$5000,1)</x:f>
        <x:v>0</x:v>
      </x:c>
      <x:c r="L23" s="59" t="n">
        <x:f>SUMIF('Item Responses'!E$2:E$5000,A23,'Item Responses'!Q$2:Q$5000)</x:f>
        <x:v>0</x:v>
      </x:c>
    </x:row>
    <x:row r="24">
      <x:c r="A24" s="58" t="str">
        <x:v>AR-M-03</x:v>
      </x:c>
      <x:c r="B24" s="44" t="str">
        <x:v>medium</x:v>
      </x:c>
      <x:c r="C24" s="44" t="str">
        <x:v>Medium</x:v>
      </x:c>
      <x:c r="D24" s="44" t="str">
        <x:v>Multiplication and subtraction</x:v>
      </x:c>
      <x:c r="E24" s="51" t="n">
        <x:v>0.72</x:v>
      </x:c>
      <x:c r="F24" s="44" t="n">
        <x:v>17</x:v>
      </x:c>
      <x:c r="G24" s="44" t="n">
        <x:f>COUNTIF('Item Responses'!E$2:E$5000,A24)</x:f>
        <x:v>0</x:v>
      </x:c>
      <x:c r="H24" s="44" t="n">
        <x:f>SUMIF('Item Responses'!E$2:E$5000,A24,'Item Responses'!I$2:I$5000)</x:f>
        <x:v>0</x:v>
      </x:c>
      <x:c r="I24" s="51" t="str">
        <x:f>IFERROR(H24/G24,"")</x:f>
      </x:c>
      <x:c r="J24" s="52" t="str">
        <x:f>IFERROR(AVERAGEIF('Item Responses'!E$2:E$5000,A24,'Item Responses'!N$2:N$5000),"")</x:f>
      </x:c>
      <x:c r="K24" s="44" t="n">
        <x:f>COUNTIFS('Item Responses'!E$2:E$5000,A24,'Item Responses'!O$2:O$5000,1)</x:f>
        <x:v>0</x:v>
      </x:c>
      <x:c r="L24" s="59" t="n">
        <x:f>SUMIF('Item Responses'!E$2:E$5000,A24,'Item Responses'!Q$2:Q$5000)</x:f>
        <x:v>0</x:v>
      </x:c>
    </x:row>
    <x:row r="25">
      <x:c r="A25" s="58" t="str">
        <x:v>AR-M-04</x:v>
      </x:c>
      <x:c r="B25" s="44" t="str">
        <x:v>medium</x:v>
      </x:c>
      <x:c r="C25" s="44" t="str">
        <x:v>Medium</x:v>
      </x:c>
      <x:c r="D25" s="44" t="str">
        <x:v>Flow tracking</x:v>
      </x:c>
      <x:c r="E25" s="51" t="n">
        <x:v>0.72</x:v>
      </x:c>
      <x:c r="F25" s="44" t="n">
        <x:v>17</x:v>
      </x:c>
      <x:c r="G25" s="44" t="n">
        <x:f>COUNTIF('Item Responses'!E$2:E$5000,A25)</x:f>
        <x:v>0</x:v>
      </x:c>
      <x:c r="H25" s="44" t="n">
        <x:f>SUMIF('Item Responses'!E$2:E$5000,A25,'Item Responses'!I$2:I$5000)</x:f>
        <x:v>0</x:v>
      </x:c>
      <x:c r="I25" s="51" t="str">
        <x:f>IFERROR(H25/G25,"")</x:f>
      </x:c>
      <x:c r="J25" s="52" t="str">
        <x:f>IFERROR(AVERAGEIF('Item Responses'!E$2:E$5000,A25,'Item Responses'!N$2:N$5000),"")</x:f>
      </x:c>
      <x:c r="K25" s="44" t="n">
        <x:f>COUNTIFS('Item Responses'!E$2:E$5000,A25,'Item Responses'!O$2:O$5000,1)</x:f>
        <x:v>0</x:v>
      </x:c>
      <x:c r="L25" s="59" t="n">
        <x:f>SUMIF('Item Responses'!E$2:E$5000,A25,'Item Responses'!Q$2:Q$5000)</x:f>
        <x:v>0</x:v>
      </x:c>
    </x:row>
    <x:row r="26">
      <x:c r="A26" s="58" t="str">
        <x:v>AR-M-05</x:v>
      </x:c>
      <x:c r="B26" s="44" t="str">
        <x:v>medium</x:v>
      </x:c>
      <x:c r="C26" s="44" t="str">
        <x:v>Medium</x:v>
      </x:c>
      <x:c r="D26" s="44" t="str">
        <x:v>Ratio scaling</x:v>
      </x:c>
      <x:c r="E26" s="51" t="n">
        <x:v>0.72</x:v>
      </x:c>
      <x:c r="F26" s="44" t="n">
        <x:v>17</x:v>
      </x:c>
      <x:c r="G26" s="44" t="n">
        <x:f>COUNTIF('Item Responses'!E$2:E$5000,A26)</x:f>
        <x:v>0</x:v>
      </x:c>
      <x:c r="H26" s="44" t="n">
        <x:f>SUMIF('Item Responses'!E$2:E$5000,A26,'Item Responses'!I$2:I$5000)</x:f>
        <x:v>0</x:v>
      </x:c>
      <x:c r="I26" s="51" t="str">
        <x:f>IFERROR(H26/G26,"")</x:f>
      </x:c>
      <x:c r="J26" s="52" t="str">
        <x:f>IFERROR(AVERAGEIF('Item Responses'!E$2:E$5000,A26,'Item Responses'!N$2:N$5000),"")</x:f>
      </x:c>
      <x:c r="K26" s="44" t="n">
        <x:f>COUNTIFS('Item Responses'!E$2:E$5000,A26,'Item Responses'!O$2:O$5000,1)</x:f>
        <x:v>0</x:v>
      </x:c>
      <x:c r="L26" s="59" t="n">
        <x:f>SUMIF('Item Responses'!E$2:E$5000,A26,'Item Responses'!Q$2:Q$5000)</x:f>
        <x:v>0</x:v>
      </x:c>
    </x:row>
    <x:row r="27">
      <x:c r="A27" s="58" t="str">
        <x:v>AR-M-06</x:v>
      </x:c>
      <x:c r="B27" s="44" t="str">
        <x:v>medium</x:v>
      </x:c>
      <x:c r="C27" s="44" t="str">
        <x:v>Medium</x:v>
      </x:c>
      <x:c r="D27" s="44" t="str">
        <x:v>Decimal manipulation</x:v>
      </x:c>
      <x:c r="E27" s="51" t="n">
        <x:v>0.72</x:v>
      </x:c>
      <x:c r="F27" s="44" t="n">
        <x:v>17</x:v>
      </x:c>
      <x:c r="G27" s="44" t="n">
        <x:f>COUNTIF('Item Responses'!E$2:E$5000,A27)</x:f>
        <x:v>0</x:v>
      </x:c>
      <x:c r="H27" s="44" t="n">
        <x:f>SUMIF('Item Responses'!E$2:E$5000,A27,'Item Responses'!I$2:I$5000)</x:f>
        <x:v>0</x:v>
      </x:c>
      <x:c r="I27" s="51" t="str">
        <x:f>IFERROR(H27/G27,"")</x:f>
      </x:c>
      <x:c r="J27" s="52" t="str">
        <x:f>IFERROR(AVERAGEIF('Item Responses'!E$2:E$5000,A27,'Item Responses'!N$2:N$5000),"")</x:f>
      </x:c>
      <x:c r="K27" s="44" t="n">
        <x:f>COUNTIFS('Item Responses'!E$2:E$5000,A27,'Item Responses'!O$2:O$5000,1)</x:f>
        <x:v>0</x:v>
      </x:c>
      <x:c r="L27" s="59" t="n">
        <x:f>SUMIF('Item Responses'!E$2:E$5000,A27,'Item Responses'!Q$2:Q$5000)</x:f>
        <x:v>0</x:v>
      </x:c>
    </x:row>
    <x:row r="28">
      <x:c r="A28" s="58" t="str">
        <x:v>AR-M-07</x:v>
      </x:c>
      <x:c r="B28" s="44" t="str">
        <x:v>medium</x:v>
      </x:c>
      <x:c r="C28" s="44" t="str">
        <x:v>Medium</x:v>
      </x:c>
      <x:c r="D28" s="44" t="str">
        <x:v>Geometric logic</x:v>
      </x:c>
      <x:c r="E28" s="51" t="n">
        <x:v>0.72</x:v>
      </x:c>
      <x:c r="F28" s="44" t="n">
        <x:v>17</x:v>
      </x:c>
      <x:c r="G28" s="44" t="n">
        <x:f>COUNTIF('Item Responses'!E$2:E$5000,A28)</x:f>
        <x:v>0</x:v>
      </x:c>
      <x:c r="H28" s="44" t="n">
        <x:f>SUMIF('Item Responses'!E$2:E$5000,A28,'Item Responses'!I$2:I$5000)</x:f>
        <x:v>0</x:v>
      </x:c>
      <x:c r="I28" s="51" t="str">
        <x:f>IFERROR(H28/G28,"")</x:f>
      </x:c>
      <x:c r="J28" s="52" t="str">
        <x:f>IFERROR(AVERAGEIF('Item Responses'!E$2:E$5000,A28,'Item Responses'!N$2:N$5000),"")</x:f>
      </x:c>
      <x:c r="K28" s="44" t="n">
        <x:f>COUNTIFS('Item Responses'!E$2:E$5000,A28,'Item Responses'!O$2:O$5000,1)</x:f>
        <x:v>0</x:v>
      </x:c>
      <x:c r="L28" s="59" t="n">
        <x:f>SUMIF('Item Responses'!E$2:E$5000,A28,'Item Responses'!Q$2:Q$5000)</x:f>
        <x:v>0</x:v>
      </x:c>
    </x:row>
    <x:row r="29">
      <x:c r="A29" s="58" t="str">
        <x:v>AR-M-08</x:v>
      </x:c>
      <x:c r="B29" s="44" t="str">
        <x:v>medium</x:v>
      </x:c>
      <x:c r="C29" s="44" t="str">
        <x:v>Medium</x:v>
      </x:c>
      <x:c r="D29" s="44" t="str">
        <x:v>Remaining work</x:v>
      </x:c>
      <x:c r="E29" s="51" t="n">
        <x:v>0.72</x:v>
      </x:c>
      <x:c r="F29" s="44" t="n">
        <x:v>17</x:v>
      </x:c>
      <x:c r="G29" s="44" t="n">
        <x:f>COUNTIF('Item Responses'!E$2:E$5000,A29)</x:f>
        <x:v>0</x:v>
      </x:c>
      <x:c r="H29" s="44" t="n">
        <x:f>SUMIF('Item Responses'!E$2:E$5000,A29,'Item Responses'!I$2:I$5000)</x:f>
        <x:v>0</x:v>
      </x:c>
      <x:c r="I29" s="51" t="str">
        <x:f>IFERROR(H29/G29,"")</x:f>
      </x:c>
      <x:c r="J29" s="52" t="str">
        <x:f>IFERROR(AVERAGEIF('Item Responses'!E$2:E$5000,A29,'Item Responses'!N$2:N$5000),"")</x:f>
      </x:c>
      <x:c r="K29" s="44" t="n">
        <x:f>COUNTIFS('Item Responses'!E$2:E$5000,A29,'Item Responses'!O$2:O$5000,1)</x:f>
        <x:v>0</x:v>
      </x:c>
      <x:c r="L29" s="59" t="n">
        <x:f>SUMIF('Item Responses'!E$2:E$5000,A29,'Item Responses'!Q$2:Q$5000)</x:f>
        <x:v>0</x:v>
      </x:c>
    </x:row>
    <x:row r="30">
      <x:c r="A30" s="58" t="str">
        <x:v>AR-M-09</x:v>
      </x:c>
      <x:c r="B30" s="44" t="str">
        <x:v>medium</x:v>
      </x:c>
      <x:c r="C30" s="44" t="str">
        <x:v>Medium</x:v>
      </x:c>
      <x:c r="D30" s="44" t="str">
        <x:v>Split-cost analysis</x:v>
      </x:c>
      <x:c r="E30" s="51" t="n">
        <x:v>0.72</x:v>
      </x:c>
      <x:c r="F30" s="44" t="n">
        <x:v>17</x:v>
      </x:c>
      <x:c r="G30" s="44" t="n">
        <x:f>COUNTIF('Item Responses'!E$2:E$5000,A30)</x:f>
        <x:v>0</x:v>
      </x:c>
      <x:c r="H30" s="44" t="n">
        <x:f>SUMIF('Item Responses'!E$2:E$5000,A30,'Item Responses'!I$2:I$5000)</x:f>
        <x:v>0</x:v>
      </x:c>
      <x:c r="I30" s="51" t="str">
        <x:f>IFERROR(H30/G30,"")</x:f>
      </x:c>
      <x:c r="J30" s="52" t="str">
        <x:f>IFERROR(AVERAGEIF('Item Responses'!E$2:E$5000,A30,'Item Responses'!N$2:N$5000),"")</x:f>
      </x:c>
      <x:c r="K30" s="44" t="n">
        <x:f>COUNTIFS('Item Responses'!E$2:E$5000,A30,'Item Responses'!O$2:O$5000,1)</x:f>
        <x:v>0</x:v>
      </x:c>
      <x:c r="L30" s="59" t="n">
        <x:f>SUMIF('Item Responses'!E$2:E$5000,A30,'Item Responses'!Q$2:Q$5000)</x:f>
        <x:v>0</x:v>
      </x:c>
    </x:row>
    <x:row r="31">
      <x:c r="A31" s="58" t="str">
        <x:v>AR-M-10</x:v>
      </x:c>
      <x:c r="B31" s="44" t="str">
        <x:v>medium</x:v>
      </x:c>
      <x:c r="C31" s="44" t="str">
        <x:v>Medium</x:v>
      </x:c>
      <x:c r="D31" s="44" t="str">
        <x:v>Time-based tracking</x:v>
      </x:c>
      <x:c r="E31" s="51" t="n">
        <x:v>0.72</x:v>
      </x:c>
      <x:c r="F31" s="44" t="n">
        <x:v>17</x:v>
      </x:c>
      <x:c r="G31" s="44" t="n">
        <x:f>COUNTIF('Item Responses'!E$2:E$5000,A31)</x:f>
        <x:v>0</x:v>
      </x:c>
      <x:c r="H31" s="44" t="n">
        <x:f>SUMIF('Item Responses'!E$2:E$5000,A31,'Item Responses'!I$2:I$5000)</x:f>
        <x:v>0</x:v>
      </x:c>
      <x:c r="I31" s="51" t="str">
        <x:f>IFERROR(H31/G31,"")</x:f>
      </x:c>
      <x:c r="J31" s="52" t="str">
        <x:f>IFERROR(AVERAGEIF('Item Responses'!E$2:E$5000,A31,'Item Responses'!N$2:N$5000),"")</x:f>
      </x:c>
      <x:c r="K31" s="44" t="n">
        <x:f>COUNTIFS('Item Responses'!E$2:E$5000,A31,'Item Responses'!O$2:O$5000,1)</x:f>
        <x:v>0</x:v>
      </x:c>
      <x:c r="L31" s="59" t="n">
        <x:f>SUMIF('Item Responses'!E$2:E$5000,A31,'Item Responses'!Q$2:Q$5000)</x:f>
        <x:v>0</x:v>
      </x:c>
    </x:row>
    <x:row r="32">
      <x:c r="A32" s="58" t="str">
        <x:v>AR-SH-01</x:v>
      </x:c>
      <x:c r="B32" s="44" t="str">
        <x:v>semi_hard</x:v>
      </x:c>
      <x:c r="C32" s="44" t="str">
        <x:v>Semi-Hard</x:v>
      </x:c>
      <x:c r="D32" s="44" t="str">
        <x:v>Markup calculation</x:v>
      </x:c>
      <x:c r="E32" s="51" t="n">
        <x:v>0.58</x:v>
      </x:c>
      <x:c r="F32" s="44" t="n">
        <x:v>24</x:v>
      </x:c>
      <x:c r="G32" s="44" t="n">
        <x:f>COUNTIF('Item Responses'!E$2:E$5000,A32)</x:f>
        <x:v>0</x:v>
      </x:c>
      <x:c r="H32" s="44" t="n">
        <x:f>SUMIF('Item Responses'!E$2:E$5000,A32,'Item Responses'!I$2:I$5000)</x:f>
        <x:v>0</x:v>
      </x:c>
      <x:c r="I32" s="51" t="str">
        <x:f>IFERROR(H32/G32,"")</x:f>
      </x:c>
      <x:c r="J32" s="52" t="str">
        <x:f>IFERROR(AVERAGEIF('Item Responses'!E$2:E$5000,A32,'Item Responses'!N$2:N$5000),"")</x:f>
      </x:c>
      <x:c r="K32" s="44" t="n">
        <x:f>COUNTIFS('Item Responses'!E$2:E$5000,A32,'Item Responses'!O$2:O$5000,1)</x:f>
        <x:v>0</x:v>
      </x:c>
      <x:c r="L32" s="59" t="n">
        <x:f>SUMIF('Item Responses'!E$2:E$5000,A32,'Item Responses'!Q$2:Q$5000)</x:f>
        <x:v>0</x:v>
      </x:c>
    </x:row>
    <x:row r="33">
      <x:c r="A33" s="58" t="str">
        <x:v>AR-SH-02</x:v>
      </x:c>
      <x:c r="B33" s="44" t="str">
        <x:v>semi_hard</x:v>
      </x:c>
      <x:c r="C33" s="44" t="str">
        <x:v>Semi-Hard</x:v>
      </x:c>
      <x:c r="D33" s="44" t="str">
        <x:v>Linear equation tracking</x:v>
      </x:c>
      <x:c r="E33" s="51" t="n">
        <x:v>0.58</x:v>
      </x:c>
      <x:c r="F33" s="44" t="n">
        <x:v>24</x:v>
      </x:c>
      <x:c r="G33" s="44" t="n">
        <x:f>COUNTIF('Item Responses'!E$2:E$5000,A33)</x:f>
        <x:v>0</x:v>
      </x:c>
      <x:c r="H33" s="44" t="n">
        <x:f>SUMIF('Item Responses'!E$2:E$5000,A33,'Item Responses'!I$2:I$5000)</x:f>
        <x:v>0</x:v>
      </x:c>
      <x:c r="I33" s="51" t="str">
        <x:f>IFERROR(H33/G33,"")</x:f>
      </x:c>
      <x:c r="J33" s="52" t="str">
        <x:f>IFERROR(AVERAGEIF('Item Responses'!E$2:E$5000,A33,'Item Responses'!N$2:N$5000),"")</x:f>
      </x:c>
      <x:c r="K33" s="44" t="n">
        <x:f>COUNTIFS('Item Responses'!E$2:E$5000,A33,'Item Responses'!O$2:O$5000,1)</x:f>
        <x:v>0</x:v>
      </x:c>
      <x:c r="L33" s="59" t="n">
        <x:f>SUMIF('Item Responses'!E$2:E$5000,A33,'Item Responses'!Q$2:Q$5000)</x:f>
        <x:v>0</x:v>
      </x:c>
    </x:row>
    <x:row r="34">
      <x:c r="A34" s="58" t="str">
        <x:v>AR-SH-03</x:v>
      </x:c>
      <x:c r="B34" s="44" t="str">
        <x:v>semi_hard</x:v>
      </x:c>
      <x:c r="C34" s="44" t="str">
        <x:v>Semi-Hard</x:v>
      </x:c>
      <x:c r="D34" s="44" t="str">
        <x:v>Proportional ratio split</x:v>
      </x:c>
      <x:c r="E34" s="51" t="n">
        <x:v>0.58</x:v>
      </x:c>
      <x:c r="F34" s="44" t="n">
        <x:v>24</x:v>
      </x:c>
      <x:c r="G34" s="44" t="n">
        <x:f>COUNTIF('Item Responses'!E$2:E$5000,A34)</x:f>
        <x:v>0</x:v>
      </x:c>
      <x:c r="H34" s="44" t="n">
        <x:f>SUMIF('Item Responses'!E$2:E$5000,A34,'Item Responses'!I$2:I$5000)</x:f>
        <x:v>0</x:v>
      </x:c>
      <x:c r="I34" s="51" t="str">
        <x:f>IFERROR(H34/G34,"")</x:f>
      </x:c>
      <x:c r="J34" s="52" t="str">
        <x:f>IFERROR(AVERAGEIF('Item Responses'!E$2:E$5000,A34,'Item Responses'!N$2:N$5000),"")</x:f>
      </x:c>
      <x:c r="K34" s="44" t="n">
        <x:f>COUNTIFS('Item Responses'!E$2:E$5000,A34,'Item Responses'!O$2:O$5000,1)</x:f>
        <x:v>0</x:v>
      </x:c>
      <x:c r="L34" s="59" t="n">
        <x:f>SUMIF('Item Responses'!E$2:E$5000,A34,'Item Responses'!Q$2:Q$5000)</x:f>
        <x:v>0</x:v>
      </x:c>
    </x:row>
    <x:row r="35">
      <x:c r="A35" s="58" t="str">
        <x:v>AR-SH-04</x:v>
      </x:c>
      <x:c r="B35" s="44" t="str">
        <x:v>semi_hard</x:v>
      </x:c>
      <x:c r="C35" s="44" t="str">
        <x:v>Semi-Hard</x:v>
      </x:c>
      <x:c r="D35" s="44" t="str">
        <x:v>Net rate accumulation</x:v>
      </x:c>
      <x:c r="E35" s="51" t="n">
        <x:v>0.58</x:v>
      </x:c>
      <x:c r="F35" s="44" t="n">
        <x:v>24</x:v>
      </x:c>
      <x:c r="G35" s="44" t="n">
        <x:f>COUNTIF('Item Responses'!E$2:E$5000,A35)</x:f>
        <x:v>0</x:v>
      </x:c>
      <x:c r="H35" s="44" t="n">
        <x:f>SUMIF('Item Responses'!E$2:E$5000,A35,'Item Responses'!I$2:I$5000)</x:f>
        <x:v>0</x:v>
      </x:c>
      <x:c r="I35" s="51" t="str">
        <x:f>IFERROR(H35/G35,"")</x:f>
      </x:c>
      <x:c r="J35" s="52" t="str">
        <x:f>IFERROR(AVERAGEIF('Item Responses'!E$2:E$5000,A35,'Item Responses'!N$2:N$5000),"")</x:f>
      </x:c>
      <x:c r="K35" s="44" t="n">
        <x:f>COUNTIFS('Item Responses'!E$2:E$5000,A35,'Item Responses'!O$2:O$5000,1)</x:f>
        <x:v>0</x:v>
      </x:c>
      <x:c r="L35" s="59" t="n">
        <x:f>SUMIF('Item Responses'!E$2:E$5000,A35,'Item Responses'!Q$2:Q$5000)</x:f>
        <x:v>0</x:v>
      </x:c>
    </x:row>
    <x:row r="36">
      <x:c r="A36" s="58" t="str">
        <x:v>AR-SH-05</x:v>
      </x:c>
      <x:c r="B36" s="44" t="str">
        <x:v>semi_hard</x:v>
      </x:c>
      <x:c r="C36" s="44" t="str">
        <x:v>Semi-Hard</x:v>
      </x:c>
      <x:c r="D36" s="44" t="str">
        <x:v>Compound purchases</x:v>
      </x:c>
      <x:c r="E36" s="51" t="n">
        <x:v>0.58</x:v>
      </x:c>
      <x:c r="F36" s="44" t="n">
        <x:v>24</x:v>
      </x:c>
      <x:c r="G36" s="44" t="n">
        <x:f>COUNTIF('Item Responses'!E$2:E$5000,A36)</x:f>
        <x:v>0</x:v>
      </x:c>
      <x:c r="H36" s="44" t="n">
        <x:f>SUMIF('Item Responses'!E$2:E$5000,A36,'Item Responses'!I$2:I$5000)</x:f>
        <x:v>0</x:v>
      </x:c>
      <x:c r="I36" s="51" t="str">
        <x:f>IFERROR(H36/G36,"")</x:f>
      </x:c>
      <x:c r="J36" s="52" t="str">
        <x:f>IFERROR(AVERAGEIF('Item Responses'!E$2:E$5000,A36,'Item Responses'!N$2:N$5000),"")</x:f>
      </x:c>
      <x:c r="K36" s="44" t="n">
        <x:f>COUNTIFS('Item Responses'!E$2:E$5000,A36,'Item Responses'!O$2:O$5000,1)</x:f>
        <x:v>0</x:v>
      </x:c>
      <x:c r="L36" s="59" t="n">
        <x:f>SUMIF('Item Responses'!E$2:E$5000,A36,'Item Responses'!Q$2:Q$5000)</x:f>
        <x:v>0</x:v>
      </x:c>
    </x:row>
    <x:row r="37">
      <x:c r="A37" s="58" t="str">
        <x:v>AR-SH-06</x:v>
      </x:c>
      <x:c r="B37" s="44" t="str">
        <x:v>semi_hard</x:v>
      </x:c>
      <x:c r="C37" s="44" t="str">
        <x:v>Semi-Hard</x:v>
      </x:c>
      <x:c r="D37" s="44" t="str">
        <x:v>Inverse proportions</x:v>
      </x:c>
      <x:c r="E37" s="51" t="n">
        <x:v>0.58</x:v>
      </x:c>
      <x:c r="F37" s="44" t="n">
        <x:v>24</x:v>
      </x:c>
      <x:c r="G37" s="44" t="n">
        <x:f>COUNTIF('Item Responses'!E$2:E$5000,A37)</x:f>
        <x:v>0</x:v>
      </x:c>
      <x:c r="H37" s="44" t="n">
        <x:f>SUMIF('Item Responses'!E$2:E$5000,A37,'Item Responses'!I$2:I$5000)</x:f>
        <x:v>0</x:v>
      </x:c>
      <x:c r="I37" s="51" t="str">
        <x:f>IFERROR(H37/G37,"")</x:f>
      </x:c>
      <x:c r="J37" s="52" t="str">
        <x:f>IFERROR(AVERAGEIF('Item Responses'!E$2:E$5000,A37,'Item Responses'!N$2:N$5000),"")</x:f>
      </x:c>
      <x:c r="K37" s="44" t="n">
        <x:f>COUNTIFS('Item Responses'!E$2:E$5000,A37,'Item Responses'!O$2:O$5000,1)</x:f>
        <x:v>0</x:v>
      </x:c>
      <x:c r="L37" s="59" t="n">
        <x:f>SUMIF('Item Responses'!E$2:E$5000,A37,'Item Responses'!Q$2:Q$5000)</x:f>
        <x:v>0</x:v>
      </x:c>
    </x:row>
    <x:row r="38">
      <x:c r="A38" s="58" t="str">
        <x:v>AR-SH-07</x:v>
      </x:c>
      <x:c r="B38" s="44" t="str">
        <x:v>semi_hard</x:v>
      </x:c>
      <x:c r="C38" s="44" t="str">
        <x:v>Semi-Hard</x:v>
      </x:c>
      <x:c r="D38" s="44" t="str">
        <x:v>Mean averaging target</x:v>
      </x:c>
      <x:c r="E38" s="51" t="n">
        <x:v>0.58</x:v>
      </x:c>
      <x:c r="F38" s="44" t="n">
        <x:v>24</x:v>
      </x:c>
      <x:c r="G38" s="44" t="n">
        <x:f>COUNTIF('Item Responses'!E$2:E$5000,A38)</x:f>
        <x:v>0</x:v>
      </x:c>
      <x:c r="H38" s="44" t="n">
        <x:f>SUMIF('Item Responses'!E$2:E$5000,A38,'Item Responses'!I$2:I$5000)</x:f>
        <x:v>0</x:v>
      </x:c>
      <x:c r="I38" s="51" t="str">
        <x:f>IFERROR(H38/G38,"")</x:f>
      </x:c>
      <x:c r="J38" s="52" t="str">
        <x:f>IFERROR(AVERAGEIF('Item Responses'!E$2:E$5000,A38,'Item Responses'!N$2:N$5000),"")</x:f>
      </x:c>
      <x:c r="K38" s="44" t="n">
        <x:f>COUNTIFS('Item Responses'!E$2:E$5000,A38,'Item Responses'!O$2:O$5000,1)</x:f>
        <x:v>0</x:v>
      </x:c>
      <x:c r="L38" s="59" t="n">
        <x:f>SUMIF('Item Responses'!E$2:E$5000,A38,'Item Responses'!Q$2:Q$5000)</x:f>
        <x:v>0</x:v>
      </x:c>
    </x:row>
    <x:row r="39">
      <x:c r="A39" s="58" t="str">
        <x:v>AR-SH-08</x:v>
      </x:c>
      <x:c r="B39" s="44" t="str">
        <x:v>semi_hard</x:v>
      </x:c>
      <x:c r="C39" s="44" t="str">
        <x:v>Semi-Hard</x:v>
      </x:c>
      <x:c r="D39" s="44" t="str">
        <x:v>Successive percentages</x:v>
      </x:c>
      <x:c r="E39" s="51" t="n">
        <x:v>0.58</x:v>
      </x:c>
      <x:c r="F39" s="44" t="n">
        <x:v>24</x:v>
      </x:c>
      <x:c r="G39" s="44" t="n">
        <x:f>COUNTIF('Item Responses'!E$2:E$5000,A39)</x:f>
        <x:v>0</x:v>
      </x:c>
      <x:c r="H39" s="44" t="n">
        <x:f>SUMIF('Item Responses'!E$2:E$5000,A39,'Item Responses'!I$2:I$5000)</x:f>
        <x:v>0</x:v>
      </x:c>
      <x:c r="I39" s="51" t="str">
        <x:f>IFERROR(H39/G39,"")</x:f>
      </x:c>
      <x:c r="J39" s="52" t="str">
        <x:f>IFERROR(AVERAGEIF('Item Responses'!E$2:E$5000,A39,'Item Responses'!N$2:N$5000),"")</x:f>
      </x:c>
      <x:c r="K39" s="44" t="n">
        <x:f>COUNTIFS('Item Responses'!E$2:E$5000,A39,'Item Responses'!O$2:O$5000,1)</x:f>
        <x:v>0</x:v>
      </x:c>
      <x:c r="L39" s="59" t="n">
        <x:f>SUMIF('Item Responses'!E$2:E$5000,A39,'Item Responses'!Q$2:Q$5000)</x:f>
        <x:v>0</x:v>
      </x:c>
    </x:row>
    <x:row r="40">
      <x:c r="A40" s="58" t="str">
        <x:v>AR-SH-09</x:v>
      </x:c>
      <x:c r="B40" s="44" t="str">
        <x:v>semi_hard</x:v>
      </x:c>
      <x:c r="C40" s="44" t="str">
        <x:v>Semi-Hard</x:v>
      </x:c>
      <x:c r="D40" s="44" t="str">
        <x:v>Solution dilution</x:v>
      </x:c>
      <x:c r="E40" s="51" t="n">
        <x:v>0.58</x:v>
      </x:c>
      <x:c r="F40" s="44" t="n">
        <x:v>24</x:v>
      </x:c>
      <x:c r="G40" s="44" t="n">
        <x:f>COUNTIF('Item Responses'!E$2:E$5000,A40)</x:f>
        <x:v>0</x:v>
      </x:c>
      <x:c r="H40" s="44" t="n">
        <x:f>SUMIF('Item Responses'!E$2:E$5000,A40,'Item Responses'!I$2:I$5000)</x:f>
        <x:v>0</x:v>
      </x:c>
      <x:c r="I40" s="51" t="str">
        <x:f>IFERROR(H40/G40,"")</x:f>
      </x:c>
      <x:c r="J40" s="52" t="str">
        <x:f>IFERROR(AVERAGEIF('Item Responses'!E$2:E$5000,A40,'Item Responses'!N$2:N$5000),"")</x:f>
      </x:c>
      <x:c r="K40" s="44" t="n">
        <x:f>COUNTIFS('Item Responses'!E$2:E$5000,A40,'Item Responses'!O$2:O$5000,1)</x:f>
        <x:v>0</x:v>
      </x:c>
      <x:c r="L40" s="59" t="n">
        <x:f>SUMIF('Item Responses'!E$2:E$5000,A40,'Item Responses'!Q$2:Q$5000)</x:f>
        <x:v>0</x:v>
      </x:c>
    </x:row>
    <x:row r="41">
      <x:c r="A41" s="64" t="str">
        <x:v>AR-SH-10</x:v>
      </x:c>
      <x:c r="B41" s="65" t="str">
        <x:v>semi_hard</x:v>
      </x:c>
      <x:c r="C41" s="65" t="str">
        <x:v>Semi-Hard</x:v>
      </x:c>
      <x:c r="D41" s="65" t="str">
        <x:v>Systems of equations</x:v>
      </x:c>
      <x:c r="E41" s="66" t="n">
        <x:v>0.58</x:v>
      </x:c>
      <x:c r="F41" s="65" t="n">
        <x:v>24</x:v>
      </x:c>
      <x:c r="G41" s="65" t="n">
        <x:f>COUNTIF('Item Responses'!E$2:E$5000,A41)</x:f>
        <x:v>0</x:v>
      </x:c>
      <x:c r="H41" s="65" t="n">
        <x:f>SUMIF('Item Responses'!E$2:E$5000,A41,'Item Responses'!I$2:I$5000)</x:f>
        <x:v>0</x:v>
      </x:c>
      <x:c r="I41" s="66" t="str">
        <x:f>IFERROR(H41/G41,"")</x:f>
      </x:c>
      <x:c r="J41" s="67" t="str">
        <x:f>IFERROR(AVERAGEIF('Item Responses'!E$2:E$5000,A41,'Item Responses'!N$2:N$5000),"")</x:f>
      </x:c>
      <x:c r="K41" s="65" t="n">
        <x:f>COUNTIFS('Item Responses'!E$2:E$5000,A41,'Item Responses'!O$2:O$5000,1)</x:f>
        <x:v>0</x:v>
      </x:c>
      <x:c r="L41" s="68" t="n">
        <x:f>SUMIF('Item Responses'!E$2:E$5000,A41,'Item Responses'!Q$2:Q$5000)</x:f>
        <x:v>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.5" hidden="0" customWidth="1"/>
    <x:col min="2" max="2" width="90" hidden="0" customWidth="1"/>
  </x:cols>
  <x:sheetData>
    <x:row r="1">
      <x:c r="A1" s="53" t="str">
        <x:v>Arithmetic WAIS-style Norming Template</x:v>
      </x:c>
      <x:c r="B1" s="55" t="str"/>
    </x:row>
    <x:row r="2">
      <x:c r="A2" s="80" t="str">
        <x:v>Purpose</x:v>
      </x:c>
      <x:c r="B2" s="59" t="str">
        <x:v>Track anonymous arithmetic test sessions and item-level responses for local baseline/norm development.</x:v>
      </x:c>
    </x:row>
    <x:row r="3">
      <x:c r="A3" s="80" t="str">
        <x:v>How to use</x:v>
      </x:c>
      <x:c r="B3" s="59" t="str">
        <x:v>Deploy apps_script.js to Google Apps Script, collect submissions, then paste/export the Arithmetic Sessions and Arithmetic Item Responses sheets into this workbook.</x:v>
      </x:c>
    </x:row>
    <x:row r="4">
      <x:c r="A4" s="80" t="str">
        <x:v>Important caveat</x:v>
      </x:c>
      <x:c r="B4" s="59" t="str">
        <x:v>Official WAIS item content and age-based norm tables are proprietary. This workbook uses original practice items and seed difficulty estimates only.</x:v>
      </x:c>
    </x:row>
    <x:row r="5">
      <x:c r="A5" s="80" t="str">
        <x:v>Public reference notes</x:v>
      </x:c>
      <x:c r="B5" s="59" t="str">
        <x:v>WAIS-IV Arithmetic is publicly described as a Working Memory subtest with 22 dichotomous items and a 0-22 raw score range; Pearson telepractice guidance confirms timed item administration.</x:v>
      </x:c>
    </x:row>
    <x:row r="6">
      <x:c r="A6" s="81" t="str">
        <x:v>Recommended analysis</x:v>
      </x:c>
      <x:c r="B6" s="68" t="str">
        <x:v>Use empirical accuracy, response time, repeats, and timeouts by age band once enough local observations have been collected.</x:v>
      </x:c>
    </x:row>
  </x:sheetData>
  <x:pageMargins left="0.7" right="0.7" top="0.75" bottom="0.75" header="0.3" footer="0.3"/>
</x:worksheet>
</file>